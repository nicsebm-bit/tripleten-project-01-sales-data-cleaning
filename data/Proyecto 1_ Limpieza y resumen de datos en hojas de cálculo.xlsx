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álisis" sheetId="3" r:id="rId6"/>
    <sheet state="visible" name="Visualizaciones" sheetId="4" r:id="rId7"/>
    <sheet state="visible" name="Informe_Ejecutivo" sheetId="5" r:id="rId8"/>
  </sheets>
  <definedNames>
    <definedName hidden="1" localSheetId="0" name="_xlnm._FilterDatabase">Datos_Originales!$A$1:$I$754</definedName>
  </definedNames>
  <calcPr/>
  <extLst>
    <ext uri="GoogleSheetsCustomDataVersion2">
      <go:sheetsCustomData xmlns:go="http://customooxmlschemas.google.com/" r:id="rId9" roundtripDataChecksum="BevuBVeIJA1VXif/cquRhkGVnt/kLnqI330GBYVsFbk="/>
    </ext>
  </extLst>
</workbook>
</file>

<file path=xl/sharedStrings.xml><?xml version="1.0" encoding="utf-8"?>
<sst xmlns="http://schemas.openxmlformats.org/spreadsheetml/2006/main" count="7613" uniqueCount="2384">
  <si>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</si>
  <si>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</si>
  <si>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</si>
  <si>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</si>
  <si>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</si>
  <si>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</si>
  <si>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</si>
  <si>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</si>
  <si>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</si>
  <si>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monterrey</t>
  </si>
  <si>
    <t>Tablet-Estándar-8GB</t>
  </si>
  <si>
    <t>Rebeca Salvador Gamez García</t>
  </si>
  <si>
    <t>qcovarrubias@hotmail.com</t>
  </si>
  <si>
    <t>53a9e98d-d57a-488e-bcec-701bc4e1ec3e</t>
  </si>
  <si>
    <t>bogotá</t>
  </si>
  <si>
    <t>Auriculares-Con cable-32GB</t>
  </si>
  <si>
    <t>Evelio Ramiro Arce</t>
  </si>
  <si>
    <t>gaytansergio@navarro.info</t>
  </si>
  <si>
    <t>10c739f0-f7fb-4c8e-a239-ed1f5c295465</t>
  </si>
  <si>
    <t>Sandra Baez</t>
  </si>
  <si>
    <t>maria-teresamanzanares@jaquez.com</t>
  </si>
  <si>
    <t>d7c9e19e-1228-4326-8b2a-cde42e222a67</t>
  </si>
  <si>
    <t>Tablet-Estándar-16GB</t>
  </si>
  <si>
    <t>Uriel Helena Caldera</t>
  </si>
  <si>
    <t>pizarrojaqueline@acuna-moreno.com</t>
  </si>
  <si>
    <t>91de2837-a873-4607-8185-7fa6844d2be8</t>
  </si>
  <si>
    <t>Wendolin Jeronimo Farías</t>
  </si>
  <si>
    <t>yterrazas@hotmail.com</t>
  </si>
  <si>
    <t>4cfd7c38-6607-4b36-ab60-fb259d4e18b4</t>
  </si>
  <si>
    <t>Ciudad de Mexico</t>
  </si>
  <si>
    <t>Teléfono-Gama alta-32GB</t>
  </si>
  <si>
    <t>Esteban Ureña</t>
  </si>
  <si>
    <t>gvazquez@burgos.com</t>
  </si>
  <si>
    <t>a4da2665-dfb9-46f3-b658-cc5d0505dd86</t>
  </si>
  <si>
    <t>Medellín</t>
  </si>
  <si>
    <t>Tablet-Pro-4GB</t>
  </si>
  <si>
    <t>Aida Ojeda Galindo</t>
  </si>
  <si>
    <t>concepcion88@hotmail.com</t>
  </si>
  <si>
    <t>8d23f99e-11a9-4194-979d-e2f334eec6fa</t>
  </si>
  <si>
    <t>Auriculares-Con cable-8GB</t>
  </si>
  <si>
    <t>Cristal Luis Manuel Sanchez</t>
  </si>
  <si>
    <t>rocioescalante@hotmail.com</t>
  </si>
  <si>
    <t>a895a20b-523d-4f9e-a3e5-039259362c4f</t>
  </si>
  <si>
    <t>Daniela Padron</t>
  </si>
  <si>
    <t>dromero@industrias.info</t>
  </si>
  <si>
    <t>14722e2a-7971-43ee-ac45-587157e6f198</t>
  </si>
  <si>
    <t>Lic. Elena Zepeda</t>
  </si>
  <si>
    <t>emiliovillegas@diaz-ulibarri.net</t>
  </si>
  <si>
    <t>7424e9fb-eb47-4eb6-b0ee-330eb470b214</t>
  </si>
  <si>
    <t>Tablet-Estándar-32GB</t>
  </si>
  <si>
    <t>Cristal Rincon</t>
  </si>
  <si>
    <t>maria-teresaibarra@yahoo.com</t>
  </si>
  <si>
    <t>a4b8a935-59ba-43d2-9d68-660ee91a5acd</t>
  </si>
  <si>
    <t>Laptop-Oficina-8GB</t>
  </si>
  <si>
    <t>Francisca Lucas Jaimes Zavala</t>
  </si>
  <si>
    <t>baezjonas@proyectos.org</t>
  </si>
  <si>
    <t>9c8710a3-d9ef-4a00-9c0b-7c93d5fb8f63</t>
  </si>
  <si>
    <t>Guadalajara</t>
  </si>
  <si>
    <t>Auriculares-Bluetooth-4GB</t>
  </si>
  <si>
    <t>Elisa Soria</t>
  </si>
  <si>
    <t>guillerminacorral@yahoo.com</t>
  </si>
  <si>
    <t>eb72415a-2fdb-436d-a740-aa38fe92dba8</t>
  </si>
  <si>
    <t>Laptop-Ultraliviana-4GB</t>
  </si>
  <si>
    <t>Rosalia Alcantar</t>
  </si>
  <si>
    <t>luisamata@barajas-de.org</t>
  </si>
  <si>
    <t>a9fee7b5-3729-4db8-815f-355ff6236823</t>
  </si>
  <si>
    <t>Tablet-Estándar-4GB</t>
  </si>
  <si>
    <t>Fernando Marquez Almaraz</t>
  </si>
  <si>
    <t>benitezcarlota@yahoo.com</t>
  </si>
  <si>
    <t>1d366307-d6bd-4e44-b202-bab1ce141dbd</t>
  </si>
  <si>
    <t>Auriculares-Bluetooth-16GB</t>
  </si>
  <si>
    <t>Indira Guadalupe Montez Alcaraz</t>
  </si>
  <si>
    <t>brivera@club.com</t>
  </si>
  <si>
    <t>a076e80e-95f4-4b8d-8e0e-af032fd3e7e3</t>
  </si>
  <si>
    <t>CALI</t>
  </si>
  <si>
    <t>Tablet-Mini-32GB</t>
  </si>
  <si>
    <t>Ing. María José Noriega</t>
  </si>
  <si>
    <t>victor38@industrias.com</t>
  </si>
  <si>
    <t>55a4140a-ad3c-4b67-9d33-7eb275fe9440</t>
  </si>
  <si>
    <t>Laptop-Oficina-16GB</t>
  </si>
  <si>
    <t>Mtro. César Verduzco</t>
  </si>
  <si>
    <t>maria-elena87@proyectos.biz</t>
  </si>
  <si>
    <t>af1640cb-8d21-4be4-a497-cf19ebe3fa3e</t>
  </si>
  <si>
    <t>Teléfono-Gama media-32GB</t>
  </si>
  <si>
    <t>Ernesto Rendon</t>
  </si>
  <si>
    <t>nadame@hotmail.com</t>
  </si>
  <si>
    <t>7c7c5e94-04af-466b-bbd2-9ba60b16b6cc</t>
  </si>
  <si>
    <t>TULUM</t>
  </si>
  <si>
    <t>Laptop-Gaming-32GB</t>
  </si>
  <si>
    <t>Julio César Fernando Cordero</t>
  </si>
  <si>
    <t>fmontalvo@gmail.com</t>
  </si>
  <si>
    <t>fd56654c-43c9-4016-8183-cbdf6b382ba6</t>
  </si>
  <si>
    <t>Tablet-Mini-8GB</t>
  </si>
  <si>
    <t>Augusto Oswaldo Arce Guardado</t>
  </si>
  <si>
    <t>marcos44@yahoo.com</t>
  </si>
  <si>
    <t>b510688e-fa24-4654-b955-0b6adeee039e</t>
  </si>
  <si>
    <t>Maximiliano Omar Brito Vega</t>
  </si>
  <si>
    <t>julio50@hotmail.com</t>
  </si>
  <si>
    <t>99bc21fb-dcd1-48e4-be06-9bd0b762b73e</t>
  </si>
  <si>
    <t>Alejandra Najera Miramontes</t>
  </si>
  <si>
    <t>umadrigal@despacho.biz</t>
  </si>
  <si>
    <t>38daf333-0f89-435f-9b2d-a6d639ff33df</t>
  </si>
  <si>
    <t>Benjamín Marcela Lucero</t>
  </si>
  <si>
    <t>cresporaquel@yahoo.com</t>
  </si>
  <si>
    <t>cc9f2851-c332-405f-a3fb-1abae821a706</t>
  </si>
  <si>
    <t>Eloy Godoy del Río</t>
  </si>
  <si>
    <t>kveliz@gmail.com</t>
  </si>
  <si>
    <t>7ac1b8fd-c88f-4033-9061-4a7613449273</t>
  </si>
  <si>
    <t>Luis Manuel Ilse Apodaca</t>
  </si>
  <si>
    <t>ilse56@tapia-zavala.com</t>
  </si>
  <si>
    <t>a1cb1e10-0e31-479a-b8bb-5dc909b32b66</t>
  </si>
  <si>
    <t>Eugenio Juana Orta Chapa</t>
  </si>
  <si>
    <t>marco-antoniorosado@grupo.org</t>
  </si>
  <si>
    <t>3786d3a2-e035-4239-845a-3dce8eca0b61</t>
  </si>
  <si>
    <t>GUADALAJARA</t>
  </si>
  <si>
    <t>Teléfono-Gama baja-16GB</t>
  </si>
  <si>
    <t>Octavio Briseño Corrales</t>
  </si>
  <si>
    <t>antoniohernandez@gmail.com</t>
  </si>
  <si>
    <t>06092c99-a04c-49aa-b1e2-81711e255109</t>
  </si>
  <si>
    <t>Teléfono-Gama alta-8GB</t>
  </si>
  <si>
    <t>Patricio Puga</t>
  </si>
  <si>
    <t>maytecasares@yahoo.com</t>
  </si>
  <si>
    <t>428f89ef-5eb4-469e-b29a-14fcef36e9d3</t>
  </si>
  <si>
    <t>Tel√©fono-Gama media-8GB</t>
  </si>
  <si>
    <t>Antonio Adriana Razo</t>
  </si>
  <si>
    <t>reyesespartaco@hotmail.com</t>
  </si>
  <si>
    <t>c08f9ba9-0e32-4277-937a-eae40b912ab0</t>
  </si>
  <si>
    <t>Isabel Maya</t>
  </si>
  <si>
    <t>tozuna@yahoo.com</t>
  </si>
  <si>
    <t>e8070b1a-de24-4296-b9ca-c4d62784eb47</t>
  </si>
  <si>
    <t>Tablet-Pro-8GB</t>
  </si>
  <si>
    <t>Lic. Carlota Ontiveros</t>
  </si>
  <si>
    <t>francisco-javierzamudio@gmail.com</t>
  </si>
  <si>
    <t>19a6e9f7-0a45-4879-ab17-df6979e1e612</t>
  </si>
  <si>
    <t>Itzel Puente Téllez</t>
  </si>
  <si>
    <t>emontalvo@angulo.info</t>
  </si>
  <si>
    <t>e1d56019-1e10-4a1a-9dff-bff7048987d6</t>
  </si>
  <si>
    <t>Auriculares-Con cable-16GB</t>
  </si>
  <si>
    <t>Daniela Uribe</t>
  </si>
  <si>
    <t>qcolon@laureano-solorzano.net</t>
  </si>
  <si>
    <t>a1278508-c2d2-4e1a-9ab3-cd5dcc25c9cf</t>
  </si>
  <si>
    <t>Gustavo Berta Aragon</t>
  </si>
  <si>
    <t>del-riojuan@velasco.com</t>
  </si>
  <si>
    <t>afc92f17-61fe-4e4e-84c2-09515ccc8e07</t>
  </si>
  <si>
    <t xml:space="preserve">Teléfono-Gama alta-16GB </t>
  </si>
  <si>
    <t>Lorenzo Wendolin Méndez Gollum</t>
  </si>
  <si>
    <t>ffuentes@ochoa-molina.com</t>
  </si>
  <si>
    <t>116022d7-56fc-4596-aeba-30c58ab21dbf</t>
  </si>
  <si>
    <t>Serafín Samuel Tamayo Baez</t>
  </si>
  <si>
    <t>bruno78@vega.org</t>
  </si>
  <si>
    <t>c196a64f-ac47-4c79-b416-d0807432cfa3</t>
  </si>
  <si>
    <t>Laptop-Gaming-8GB</t>
  </si>
  <si>
    <t>Irene Domínguez</t>
  </si>
  <si>
    <t>estherpedroza@rojas-moya.info</t>
  </si>
  <si>
    <t>2ad918fa-d68e-42ea-926c-414454fd8220</t>
  </si>
  <si>
    <t>María Cristina Valdivia Mondragon</t>
  </si>
  <si>
    <t>porfirio68@corporacin.biz</t>
  </si>
  <si>
    <t>9fc06fba-9376-4e96-97f1-0aeca2f00a87</t>
  </si>
  <si>
    <t>Diego Fernandez</t>
  </si>
  <si>
    <t>sessa76@casarez.com</t>
  </si>
  <si>
    <t>d1068262-a372-42f4-b5e9-48fa9a84b933</t>
  </si>
  <si>
    <t>Laptop-Oficina-32GB</t>
  </si>
  <si>
    <t>Dolores Jesús Quiñonez Lebron</t>
  </si>
  <si>
    <t>nicolas17@gmail.com</t>
  </si>
  <si>
    <t>5c299656-4419-4c69-bdd2-2dc9b8af337b</t>
  </si>
  <si>
    <t>Auriculares-Bluetooth-32GB</t>
  </si>
  <si>
    <t>Karina Jeronimo Pérez Mojica</t>
  </si>
  <si>
    <t>mauro20@urrutia.net</t>
  </si>
  <si>
    <t>581770ae-84a5-4fc3-ba77-826c11cb3e70</t>
  </si>
  <si>
    <t>Teléfono-Gama baja-4GB</t>
  </si>
  <si>
    <t>Octavio Isabela Barraza</t>
  </si>
  <si>
    <t>irobles@gmail.com</t>
  </si>
  <si>
    <t>bb32f0ba-b764-401c-a691-3d59b0136679</t>
  </si>
  <si>
    <t>Mariano Fuentes Esquibel</t>
  </si>
  <si>
    <t>juana28@hotmail.com</t>
  </si>
  <si>
    <t>538c9408-8b8b-4785-b9f9-cd2657097173</t>
  </si>
  <si>
    <t>Asuncion Samaniego</t>
  </si>
  <si>
    <t>arellanoalfredo@gmail.com</t>
  </si>
  <si>
    <t>4e9e641c-a0d6-4903-8f6e-f87d90c24aa0</t>
  </si>
  <si>
    <t>Tablet-Mini-4GB</t>
  </si>
  <si>
    <t>Marcela Paez</t>
  </si>
  <si>
    <t>gabrieljaime@club.com</t>
  </si>
  <si>
    <t>e98e23f8-e415-4062-bdbb-4e90ecd252c4</t>
  </si>
  <si>
    <t>Auriculares-Cancelaci√≥n de ruido-16GB</t>
  </si>
  <si>
    <t>Alta  Gracia Alicia Guzman</t>
  </si>
  <si>
    <t>rosasgabriela@gmail.com</t>
  </si>
  <si>
    <t>88268205-0f39-4e9a-9353-1a9ee68c009c</t>
  </si>
  <si>
    <t>Laptop-Ultraliviana-16GB</t>
  </si>
  <si>
    <t>Rodrigo Vanegas Serna</t>
  </si>
  <si>
    <t>vicentezelaya@valdez.com</t>
  </si>
  <si>
    <t>426433ea-0410-4d24-b435-247c7b633415</t>
  </si>
  <si>
    <t>Luis Camila Guardado</t>
  </si>
  <si>
    <t>deborallamas@hotmail.com</t>
  </si>
  <si>
    <t>dca19bf4-3f5f-484c-bfdb-75c9ded28858</t>
  </si>
  <si>
    <t>Mtro. Rafaél Najera</t>
  </si>
  <si>
    <t>fernando51@yahoo.com</t>
  </si>
  <si>
    <t>7594ffab-c88c-40b4-b851-6897e6230fb0</t>
  </si>
  <si>
    <t>Clemente Lucas de la Crúz Florez</t>
  </si>
  <si>
    <t>miriam03@laboratorios.com</t>
  </si>
  <si>
    <t>306238f0-70d8-49c3-bc3f-5c9df03698bf</t>
  </si>
  <si>
    <t>Ing. Cecilia Gurule</t>
  </si>
  <si>
    <t>pulidoindira@industrias.org</t>
  </si>
  <si>
    <t>13857721-e31a-444e-a2c2-774566eb5f26</t>
  </si>
  <si>
    <t>Elias Juan Carlos Estévez Cepeda</t>
  </si>
  <si>
    <t>virginiameraz@yahoo.com</t>
  </si>
  <si>
    <t>a2d32009-f750-4260-8311-8300bd425ff8</t>
  </si>
  <si>
    <t>Alta  Gracia Marrero Ocasio</t>
  </si>
  <si>
    <t>leonardorosas@laboratorios.com</t>
  </si>
  <si>
    <t>fad038ce-1b32-4c25-85bc-38c2262677ee</t>
  </si>
  <si>
    <t>Esmeralda Bañuelos</t>
  </si>
  <si>
    <t>gdel-rio@proyectos.biz</t>
  </si>
  <si>
    <t>4a70ae74-59ef-4f8f-98ee-d8fff858e22d</t>
  </si>
  <si>
    <t>Angélica Bueno Olvera</t>
  </si>
  <si>
    <t>bernabe37@despacho.com</t>
  </si>
  <si>
    <t>9ffc235a-1e2b-44c3-80ec-61b7a7d4cbc5</t>
  </si>
  <si>
    <t>Teléfono-Gama media-4GB</t>
  </si>
  <si>
    <t>Roberto Casarez Lozada</t>
  </si>
  <si>
    <t>granadosaraceli@proyectos.net</t>
  </si>
  <si>
    <t>890c4fe3-a2aa-473b-a2ff-9c2704d3ac14</t>
  </si>
  <si>
    <t>Dr. Pedro Zapata</t>
  </si>
  <si>
    <t>ursulamenchaca@hotmail.com</t>
  </si>
  <si>
    <t>7413d048-5e1b-4043-9969-89781ce744b0</t>
  </si>
  <si>
    <t>Laptop-Gaming-16GB</t>
  </si>
  <si>
    <t>Mtro. Salma de la Garza</t>
  </si>
  <si>
    <t>ana-luisa49@otero.org</t>
  </si>
  <si>
    <t>40b3bbac-c623-4647-a606-b5af9a39c69f</t>
  </si>
  <si>
    <t>Laptop-Oficina-4GB</t>
  </si>
  <si>
    <t>Tania Soto Nieves</t>
  </si>
  <si>
    <t>jeronimovigil@hotmail.com</t>
  </si>
  <si>
    <t>af87cfff-afb0-4f85-888d-e5db29ae4766</t>
  </si>
  <si>
    <t>Tablet-Mini-16GB</t>
  </si>
  <si>
    <t>Leticia Luevano Mayorga</t>
  </si>
  <si>
    <t>orascon@corporacin.com</t>
  </si>
  <si>
    <t>f0548b33-86eb-4b3f-a1f4-cef9f9f11955</t>
  </si>
  <si>
    <t>Lic. Leonel Orosco</t>
  </si>
  <si>
    <t>dponce@verdugo.info</t>
  </si>
  <si>
    <t>972dd545-20a8-49a2-be8a-93f570eba58b</t>
  </si>
  <si>
    <t>Hernan Anguiano</t>
  </si>
  <si>
    <t>adriana27@hotmail.com</t>
  </si>
  <si>
    <t>6b47665a-5972-4a11-a9e7-d42e56cf42a4</t>
  </si>
  <si>
    <t>Dr. Yolanda Miranda</t>
  </si>
  <si>
    <t>oswaldo20@proyectos.net</t>
  </si>
  <si>
    <t>8e55023b-2774-4015-86a2-780e882c0d87</t>
  </si>
  <si>
    <t>Ing. Judith Ayala</t>
  </si>
  <si>
    <t>paolavergara@laboratorios.net</t>
  </si>
  <si>
    <t>64e8cb7b-f59e-470c-b704-3f79a8f2cc9e</t>
  </si>
  <si>
    <t>Carmen Rufino Téllez Benavides</t>
  </si>
  <si>
    <t>leonortoledo@solorzano.com</t>
  </si>
  <si>
    <t>dac843fc-5bc0-475f-a01e-8c48a965a9c2</t>
  </si>
  <si>
    <t>Wendolin Fonseca</t>
  </si>
  <si>
    <t>linda23@gmail.com</t>
  </si>
  <si>
    <t>fc8a05ee-e84e-44f7-96be-898033a352b4</t>
  </si>
  <si>
    <t>Auriculares-Bluetooth-8GB</t>
  </si>
  <si>
    <t>Mariano Leticia Palomino</t>
  </si>
  <si>
    <t>brunoflorez@hotmail.com</t>
  </si>
  <si>
    <t>c1103728-e36d-48da-ba95-42c7fc1ccca5</t>
  </si>
  <si>
    <t>Auriculares-Cancelación de ruido-8GB</t>
  </si>
  <si>
    <t>Veronica Wendolin Teran</t>
  </si>
  <si>
    <t>felipe81@espino.info</t>
  </si>
  <si>
    <t>6a83774a-e4f8-4c9b-ae75-2c985e801156</t>
  </si>
  <si>
    <t>Sandra Marisol Vergara</t>
  </si>
  <si>
    <t>casarezminerva@yahoo.com</t>
  </si>
  <si>
    <t>03d8d67d-53e4-43e8-bd00-72801ff4e987</t>
  </si>
  <si>
    <t>Sr(a). Julio César Collazo</t>
  </si>
  <si>
    <t>angel71@rincon-perea.com</t>
  </si>
  <si>
    <t>be245970-0c63-4d78-ae9d-e25f66cad9cf</t>
  </si>
  <si>
    <t>Mariana Jeronimo Partida Tejeda</t>
  </si>
  <si>
    <t>cristobal02@frias-mojica.biz</t>
  </si>
  <si>
    <t>50843e6d-c79e-434b-87b9-c3050b4bcc8f</t>
  </si>
  <si>
    <t>Teléfono-Gama baja-32GB</t>
  </si>
  <si>
    <t>Alma Galvan</t>
  </si>
  <si>
    <t>magdalena44@industrias.com</t>
  </si>
  <si>
    <t>bddbebd3-8d7c-4f54-b99a-707a32de78d9</t>
  </si>
  <si>
    <t>Lic. Santiago Montenegro</t>
  </si>
  <si>
    <t>onavarro@proyectos.com</t>
  </si>
  <si>
    <t>a65e1da8-d4c4-4925-b15a-eefb65f84daa</t>
  </si>
  <si>
    <t>Jorge Sepúlveda</t>
  </si>
  <si>
    <t>uferrer@gmail.com</t>
  </si>
  <si>
    <t>44eb6606-bfe9-426e-8e4f-c7683d27a64a</t>
  </si>
  <si>
    <t>Tablet-Pro-16GB</t>
  </si>
  <si>
    <t>Fernando Almanza Duran</t>
  </si>
  <si>
    <t>valmonte@gmail.com</t>
  </si>
  <si>
    <t>b033c422-b86e-4729-a448-c047ea02bb69</t>
  </si>
  <si>
    <t>Sr(a). Camilo Partida</t>
  </si>
  <si>
    <t>alfredocastro@oquendo.com</t>
  </si>
  <si>
    <t>c2384374-01f4-4848-97cd-a1327649abfe</t>
  </si>
  <si>
    <t>Ing. Ilse Ocasio</t>
  </si>
  <si>
    <t>abel08@laboratorios.com</t>
  </si>
  <si>
    <t>9fa9acba-1ca0-43da-be32-3ee4f9804f9e</t>
  </si>
  <si>
    <t>Teléfono-Gama alta-16GB</t>
  </si>
  <si>
    <t>José Manuél Indira Ledesma Treviño</t>
  </si>
  <si>
    <t>raquelyanez@hotmail.com</t>
  </si>
  <si>
    <t>b17b1651-8264-42dd-ac16-7674416db2f4</t>
  </si>
  <si>
    <t>Vanesa José Santana</t>
  </si>
  <si>
    <t>javierraya@hotmail.com</t>
  </si>
  <si>
    <t>165c0023-40a6-48a9-847c-8e2378c194fd</t>
  </si>
  <si>
    <t>Eloisa Orta</t>
  </si>
  <si>
    <t>yzedillo@despacho.org</t>
  </si>
  <si>
    <t>8f822140-8a36-4160-bf5d-68a254229e14</t>
  </si>
  <si>
    <t>Cristal Andrés Gomez</t>
  </si>
  <si>
    <t>villarebeca@gmail.com</t>
  </si>
  <si>
    <t>70a2c437-9cb0-4e0b-9cd5-ec6294260bb1</t>
  </si>
  <si>
    <t>Elena Ballesteros</t>
  </si>
  <si>
    <t>de-la-torrelorenzo@yahoo.com</t>
  </si>
  <si>
    <t>36cc47e7-ea9e-410e-ab8c-53adeed2d905</t>
  </si>
  <si>
    <t>Rocío Villareal</t>
  </si>
  <si>
    <t>roqueelsa@gmail.com</t>
  </si>
  <si>
    <t>6c3fead4-1fe5-4288-be37-3b39d5d98304</t>
  </si>
  <si>
    <t>Laptop-Ultraliviana-32GB</t>
  </si>
  <si>
    <t>Natividad Armenta Espino</t>
  </si>
  <si>
    <t>vcontreras@yahoo.com</t>
  </si>
  <si>
    <t>a7a8f827-451d-439f-95ca-6682c5127351</t>
  </si>
  <si>
    <t>Teléfono-Gama baja-8GB</t>
  </si>
  <si>
    <t>Aurora Esteban Sisneros Centeno</t>
  </si>
  <si>
    <t>soniapaez@laboratorios.com</t>
  </si>
  <si>
    <t>8dcb205e-e032-4baa-a658-7e640f07fe1e</t>
  </si>
  <si>
    <t>Tablet-Pro-32GB</t>
  </si>
  <si>
    <t>Lic. Abraham Guillen</t>
  </si>
  <si>
    <t>delgadogabino@hotmail.com</t>
  </si>
  <si>
    <t>0a037e7f-e874-4665-a3e4-734c560a30f9</t>
  </si>
  <si>
    <t>Sr(a). Aurelio Lemus</t>
  </si>
  <si>
    <t>garaymarco-antonio@gmail.com</t>
  </si>
  <si>
    <t>9cba1b15-28fd-439f-af54-d9a1bf7128b0</t>
  </si>
  <si>
    <t>Abel Emilio Robledo</t>
  </si>
  <si>
    <t>trevinoisaac@hotmail.com</t>
  </si>
  <si>
    <t>1a70ed1b-c3d7-4e03-b54a-3308b332ece5</t>
  </si>
  <si>
    <t>Mtro. Estela Villanueva</t>
  </si>
  <si>
    <t>salma61@gmail.com</t>
  </si>
  <si>
    <t>8cbf9f9b-f7d4-44ca-9484-0940e88fe51a</t>
  </si>
  <si>
    <t>Enrique Crespo Alvarez</t>
  </si>
  <si>
    <t>pamela41@grupo.com</t>
  </si>
  <si>
    <t>6321df0f-9103-4ad4-8571-120df4dd675b</t>
  </si>
  <si>
    <t>Víctor Jaramillo</t>
  </si>
  <si>
    <t>vallejogustavo@despacho.net</t>
  </si>
  <si>
    <t>cb4fece9-bf8f-4e7d-8218-b9d826729e46</t>
  </si>
  <si>
    <t>Asuncion Badillo</t>
  </si>
  <si>
    <t>carlota45@yahoo.com</t>
  </si>
  <si>
    <t>a279348c-c747-4e18-b056-f066a8c54d22</t>
  </si>
  <si>
    <t>Rosalia Florencia Contreras</t>
  </si>
  <si>
    <t>olverapamela@yahoo.com</t>
  </si>
  <si>
    <t>54ac59d8-1eda-4373-bd55-691a4a1a13f9</t>
  </si>
  <si>
    <t>Laptop-Ultraliviana-8GB</t>
  </si>
  <si>
    <t>Diego Armando Portillo</t>
  </si>
  <si>
    <t>rociopalomino@valenzuela.com</t>
  </si>
  <si>
    <t>278f1d63-6044-406a-b286-8ed51ce0b45a</t>
  </si>
  <si>
    <t>Dr. Diana Olivas</t>
  </si>
  <si>
    <t>vmesa@valdes-suarez.com</t>
  </si>
  <si>
    <t>f2f8a751-e6da-4e2b-b90b-7189fd4833ad</t>
  </si>
  <si>
    <t>Rufino Lucero Urrutia</t>
  </si>
  <si>
    <t>ncastaneda@rico.com</t>
  </si>
  <si>
    <t>f34bc8a2-d539-45c5-a4cb-e23ab3ad1bf9</t>
  </si>
  <si>
    <t>Fabiola Angélica Bravo</t>
  </si>
  <si>
    <t>correaestefania@yahoo.com</t>
  </si>
  <si>
    <t>76fde716-641c-4ff4-848c-ade7a38970de</t>
  </si>
  <si>
    <t>Lourdes Godoy Niño</t>
  </si>
  <si>
    <t>prietowendolin@abrego-mares.com</t>
  </si>
  <si>
    <t>8cfb7643-588b-4ac4-8843-ef2886b4bbea</t>
  </si>
  <si>
    <t>Guillermina Carbajal</t>
  </si>
  <si>
    <t>martincandelaria@hotmail.com</t>
  </si>
  <si>
    <t>f0d38b06-2059-47d6-9f56-aefc70f2727d</t>
  </si>
  <si>
    <t>Leonardo José Luis Manzanares Trujillo</t>
  </si>
  <si>
    <t>garenas@verduzco.org</t>
  </si>
  <si>
    <t>969772b7-82a9-4281-b808-f08dbacfaa54</t>
  </si>
  <si>
    <t>Abel Leticia Calderon Gallegos</t>
  </si>
  <si>
    <t>timoteo70@hotmail.com</t>
  </si>
  <si>
    <t>92461461-c9c6-41f5-ba8b-7e68bb7088ec</t>
  </si>
  <si>
    <t>Auriculares-Con cable-4GB</t>
  </si>
  <si>
    <t>Mauricio Pamela Villegas</t>
  </si>
  <si>
    <t>jeronimo36@proyectos.info</t>
  </si>
  <si>
    <t>041c1c21-48c4-49bf-8301-a26b4b366c97</t>
  </si>
  <si>
    <t>Teléfono-Gama media-16GB</t>
  </si>
  <si>
    <t>Josefina Zarate</t>
  </si>
  <si>
    <t>rosaliabatista@hurtado.com</t>
  </si>
  <si>
    <t>0db62a2e-44b2-4c21-8063-f5b1546b6955</t>
  </si>
  <si>
    <t>Olga Castillo Longoria</t>
  </si>
  <si>
    <t>cejaantonio@gmail.com</t>
  </si>
  <si>
    <t>8d1f42be-4310-48c3-951b-e030b1423297</t>
  </si>
  <si>
    <t>Sr(a). Luis Manuel Arriaga</t>
  </si>
  <si>
    <t>yenivaldes@quesada.com</t>
  </si>
  <si>
    <t>7fcd384b-a0e3-4e0f-a707-c4a8a1b4c112</t>
  </si>
  <si>
    <t>Antonio Jesús Vallejo Bravo</t>
  </si>
  <si>
    <t>uescalante@gmail.com</t>
  </si>
  <si>
    <t>3a57b856-992a-4aa3-a497-f62acef32235</t>
  </si>
  <si>
    <t>René Rafaél Rocha</t>
  </si>
  <si>
    <t>hugodel-rio@reyna.com</t>
  </si>
  <si>
    <t>21eb6780-a2cf-4959-81fd-6bec09658cd0</t>
  </si>
  <si>
    <t>Auriculares-Cancelación de ruido-4GB</t>
  </si>
  <si>
    <t>Rodrigo Aldonza Polanco</t>
  </si>
  <si>
    <t>borregomitzy@hotmail.com</t>
  </si>
  <si>
    <t>4b66bc0e-757f-46df-8fd9-af3d9751bd47</t>
  </si>
  <si>
    <t>José Luis Alarcon</t>
  </si>
  <si>
    <t>maximiliano11@garrido.com</t>
  </si>
  <si>
    <t>0d3db73a-8164-4ea7-82ec-bc976d02b86a</t>
  </si>
  <si>
    <t>Hermelinda Clemente Sisneros</t>
  </si>
  <si>
    <t>citlaliramos@roque-velasco.biz</t>
  </si>
  <si>
    <t>af40dcd7-913c-4661-9539-8e5b477bae0b</t>
  </si>
  <si>
    <t>Laptop-Gaming-4GB</t>
  </si>
  <si>
    <t>Javier Ofelia Quintanilla Villa</t>
  </si>
  <si>
    <t>sramirez@yahoo.com</t>
  </si>
  <si>
    <t>8a1ce3fb-e2c2-4c33-8f15-c428f8a97642</t>
  </si>
  <si>
    <t>Rufino Amador Ochoa</t>
  </si>
  <si>
    <t>anel99@hotmail.com</t>
  </si>
  <si>
    <t>731cae55-5431-4c89-89e4-ae12557b88e2</t>
  </si>
  <si>
    <t>Cristina Esteban Quintero</t>
  </si>
  <si>
    <t>francisca45@espinal.com</t>
  </si>
  <si>
    <t>fa85138f-7fb2-499a-acc2-02957ef92673</t>
  </si>
  <si>
    <t>Estefanía Modesto Lebron Figueroa</t>
  </si>
  <si>
    <t>mauriciogarcia@gmail.com</t>
  </si>
  <si>
    <t>13dacdaa-eb35-4a33-acaf-5c98625d9304</t>
  </si>
  <si>
    <t>Carlos Esteban Nieves Zarate</t>
  </si>
  <si>
    <t>enriqueaguirre@tamayo-roldan.com</t>
  </si>
  <si>
    <t>748ca89e-cc7c-4b74-9211-5c7153943bea</t>
  </si>
  <si>
    <t>Sr(a). David Preciado</t>
  </si>
  <si>
    <t>fheredia@amador.biz</t>
  </si>
  <si>
    <t>ef211983-e418-498f-bd94-b407618f19f2</t>
  </si>
  <si>
    <t>Bianca Ávalos Cantú</t>
  </si>
  <si>
    <t>hborrego@hotmail.com</t>
  </si>
  <si>
    <t>46208692-578c-41c7-a7ca-6da2fc87ff43</t>
  </si>
  <si>
    <t>Veronica Jurado Gonzales</t>
  </si>
  <si>
    <t>ivenegas@club.com</t>
  </si>
  <si>
    <t>c959873c-5ee3-4647-bd0b-df86bd37e523</t>
  </si>
  <si>
    <t>Dr. Estefanía Piña</t>
  </si>
  <si>
    <t>colladomercedes@yahoo.com</t>
  </si>
  <si>
    <t>a735a980-0215-4741-924f-a6525c85f916</t>
  </si>
  <si>
    <t>Alfredo Cintron</t>
  </si>
  <si>
    <t>felicianoirene@gmail.com</t>
  </si>
  <si>
    <t>298b36d0-dae0-4465-94e0-f5a242f44bd5</t>
  </si>
  <si>
    <t>Teléfono-Gama alta-4GB</t>
  </si>
  <si>
    <t>Daniel Campos</t>
  </si>
  <si>
    <t>jossolorzano@berrios.info</t>
  </si>
  <si>
    <t>826d9505-bc85-407f-95a3-b12b5fe5566b</t>
  </si>
  <si>
    <t>Olivia Zavala</t>
  </si>
  <si>
    <t>isabelmunguia@de.com</t>
  </si>
  <si>
    <t>1bb7ccf0-5ad1-49e5-831c-01f403e1e8ae</t>
  </si>
  <si>
    <t>Estela Zamora Téllez</t>
  </si>
  <si>
    <t>luisaquintanilla@regalado-tejeda.com</t>
  </si>
  <si>
    <t>8ce73f48-2cc5-4586-974b-db612bc9d6ae</t>
  </si>
  <si>
    <t>Eric Amador Santiago</t>
  </si>
  <si>
    <t>barrazaclaudia@hotmail.com</t>
  </si>
  <si>
    <t>b07b2920-9fbe-4a2c-ab22-d232c3ad228c</t>
  </si>
  <si>
    <t>Vanesa Valverde Gaona</t>
  </si>
  <si>
    <t>rodriguezluis@corporacin.com</t>
  </si>
  <si>
    <t>57a6f553-cfd0-401a-ab8d-e08db3b7b54c</t>
  </si>
  <si>
    <t>Lic. Alfredo Florez</t>
  </si>
  <si>
    <t>franciscaarredondo@club.com</t>
  </si>
  <si>
    <t>e17b8e31-1444-4e73-8d2e-98e479a23fab</t>
  </si>
  <si>
    <t>Alejandro Hermelinda Mondragon Alvarado</t>
  </si>
  <si>
    <t>tcamarillo@gmail.com</t>
  </si>
  <si>
    <t>a84bc74c-2d98-4331-a5a9-c762bb61fb2e</t>
  </si>
  <si>
    <t>Ing. Guadalupe Borrego</t>
  </si>
  <si>
    <t>isuarez@rodriguez.info</t>
  </si>
  <si>
    <t>a87e348f-adbc-474d-84ab-934239890915</t>
  </si>
  <si>
    <t>Carmen Macías</t>
  </si>
  <si>
    <t>zmelgar@corporacin.com</t>
  </si>
  <si>
    <t>d9c044d0-2d9f-4974-b4ef-0cbae299e695</t>
  </si>
  <si>
    <t>Sr(a). Manuel Torrez</t>
  </si>
  <si>
    <t>zbarajas@industrias.com</t>
  </si>
  <si>
    <t>ed2140fd-8a01-4a73-bd2d-02153d2e7f26</t>
  </si>
  <si>
    <t>Minerva Lorena Santana Botello</t>
  </si>
  <si>
    <t>cintronbernabe@grupo.biz</t>
  </si>
  <si>
    <t>1c3f2222-1db8-46db-876a-6f85812ebbbf</t>
  </si>
  <si>
    <t>Nadia Fernando Guerra Arroyo</t>
  </si>
  <si>
    <t>zedilloamador@yahoo.com</t>
  </si>
  <si>
    <t>78bdd5ec-2c8a-49c9-918e-bfe3147b65c3</t>
  </si>
  <si>
    <t>Abraham Loera Mondragon</t>
  </si>
  <si>
    <t>rosaliapizarro@narvaez.com</t>
  </si>
  <si>
    <t>05462222-2134-4569-8058-16e2b626c19b</t>
  </si>
  <si>
    <t>Mtro. Bianca Mayorga</t>
  </si>
  <si>
    <t>maganafabiola@hinojosa-meraz.com</t>
  </si>
  <si>
    <t>028c3012-bbb3-43aa-964f-69aba65f05aa</t>
  </si>
  <si>
    <t>Esperanza Victoria Rendon</t>
  </si>
  <si>
    <t>ortaasuncion@laboratorios.org</t>
  </si>
  <si>
    <t>b3ac9ad7-3336-45ee-8e9c-45dd90295e61</t>
  </si>
  <si>
    <t>Agustín Esparza</t>
  </si>
  <si>
    <t>octavio81@granados.biz</t>
  </si>
  <si>
    <t>a8f00c77-f3a2-4ae2-a236-7df93148023d</t>
  </si>
  <si>
    <t>Guillermina Bañuelos Varela</t>
  </si>
  <si>
    <t>lucasirizarry@corporacin.com</t>
  </si>
  <si>
    <t>b87357bf-0adf-494c-9fb2-d5fb5810088e</t>
  </si>
  <si>
    <t>Alejandro Tomas Arellano</t>
  </si>
  <si>
    <t>cfajardo@ferrer-candelaria.net</t>
  </si>
  <si>
    <t>1abba075-8634-44a4-b6c5-0ea6c8708df0</t>
  </si>
  <si>
    <t>Ana Perla Zavala Laboy</t>
  </si>
  <si>
    <t>benavidezgabino@hotmail.com</t>
  </si>
  <si>
    <t>972e7cf2-8e0a-43e6-a952-bbda3382870a</t>
  </si>
  <si>
    <t>Sr(a). Ricardo Velasco</t>
  </si>
  <si>
    <t>yeni97@hotmail.com</t>
  </si>
  <si>
    <t>ec133e61-2767-4fb0-ab9c-665b9e47a3d2</t>
  </si>
  <si>
    <t>Abril Julio Torrez Segovia</t>
  </si>
  <si>
    <t>xsaenz@hotmail.com</t>
  </si>
  <si>
    <t>0281b754-3298-47cb-85b3-b7e7a8c57bab</t>
  </si>
  <si>
    <t>Bruno Samuel Acosta Rascon</t>
  </si>
  <si>
    <t>irene40@bustos.info</t>
  </si>
  <si>
    <t>5eb46f68-93f4-40bf-ade8-2f3822a7d3fe</t>
  </si>
  <si>
    <t>Octavio Santacruz Lucero</t>
  </si>
  <si>
    <t>marisoldominguez@yahoo.com</t>
  </si>
  <si>
    <t>4473af02-2d6e-42ae-8fd6-1e6eb2b0c846</t>
  </si>
  <si>
    <t>Alma Mondragon Elizondo</t>
  </si>
  <si>
    <t>margarita66@hotmail.com</t>
  </si>
  <si>
    <t>a12e4ea3-c46c-4bfd-9028-7458aa0b25d1</t>
  </si>
  <si>
    <t>Omar Irene Corral</t>
  </si>
  <si>
    <t>agamboa@corporacin.com</t>
  </si>
  <si>
    <t>41fe435e-4e1c-498f-8112-8a52ebd37db7</t>
  </si>
  <si>
    <t xml:space="preserve">Laptop-Oficina-8GB </t>
  </si>
  <si>
    <t>Abelardo Héctor Brito Solorzano</t>
  </si>
  <si>
    <t>eugenia47@de.com</t>
  </si>
  <si>
    <t>ac86de05-18a9-4269-876c-d1c20900fd8f</t>
  </si>
  <si>
    <t>Julia Gonzalo Armendariz</t>
  </si>
  <si>
    <t>jose-manuelcazares@franco.org</t>
  </si>
  <si>
    <t>ce229233-81ec-4127-be94-95ce93175cd4</t>
  </si>
  <si>
    <t>Indira Eric Rentería Velazquez</t>
  </si>
  <si>
    <t>fduran@arredondo.com</t>
  </si>
  <si>
    <t>56137b69-5c0a-49a2-bc0e-cd99b52af4b9</t>
  </si>
  <si>
    <t>César Burgos Florez</t>
  </si>
  <si>
    <t>isaac34@aviles.biz</t>
  </si>
  <si>
    <t>15c161e7-84e8-482a-963e-a7e6326abc14</t>
  </si>
  <si>
    <t>Juan Lopez</t>
  </si>
  <si>
    <t>liliagonzalez@sanabria.info</t>
  </si>
  <si>
    <t>bda4c76c-8205-4def-8d46-9d2d6a40365e</t>
  </si>
  <si>
    <t>Omar Carla Miranda</t>
  </si>
  <si>
    <t>renato62@gmail.com</t>
  </si>
  <si>
    <t>39880590-7dce-48d2-a8b2-dcef91f42511</t>
  </si>
  <si>
    <t>Virginia Irma Rolon Arteaga</t>
  </si>
  <si>
    <t>juan-carlosporras@hotmail.com</t>
  </si>
  <si>
    <t>8961a6a3-8576-4db8-bcfd-98eaefa53976</t>
  </si>
  <si>
    <t>Pedro Tamayo</t>
  </si>
  <si>
    <t>indira48@gmail.com</t>
  </si>
  <si>
    <t>53b6bfd4-05a9-41c3-adeb-dfaa20821700</t>
  </si>
  <si>
    <t>Amanda Cantú Segura</t>
  </si>
  <si>
    <t>mercedes40@lozano-borrego.org</t>
  </si>
  <si>
    <t>51322ec3-e52c-417f-9f2c-20ffb25bf684</t>
  </si>
  <si>
    <t>Mtro. Flavio Teran</t>
  </si>
  <si>
    <t>merinovicente@hotmail.com</t>
  </si>
  <si>
    <t>59db14ef-c72f-4719-807c-e681756eb5ee</t>
  </si>
  <si>
    <t>Andrés Brito</t>
  </si>
  <si>
    <t>concepcion07@hotmail.com</t>
  </si>
  <si>
    <t>a05c93ff-9a7b-4d33-9591-f2fbfbc01017</t>
  </si>
  <si>
    <t>César Barrera Orta</t>
  </si>
  <si>
    <t>floresleonor@salcido-barrientos.info</t>
  </si>
  <si>
    <t>16c09f74-0932-405b-8587-0165634b10b3</t>
  </si>
  <si>
    <t>Jacobo Adan Aparicio Tejada</t>
  </si>
  <si>
    <t>indira44@maya.biz</t>
  </si>
  <si>
    <t>6bbde35c-e30d-4e24-884b-5b00ccf47e4b</t>
  </si>
  <si>
    <t>César Fabiola Palacios</t>
  </si>
  <si>
    <t>jose-emiliogamboa@laboratorios.biz</t>
  </si>
  <si>
    <t>0e28ad98-fe18-44a9-9a89-466a166843e3</t>
  </si>
  <si>
    <t>Patricio Narvaez Holguín</t>
  </si>
  <si>
    <t>tiradoberta@yahoo.com</t>
  </si>
  <si>
    <t>467ff27d-c3d7-4928-bade-34474e2a754a</t>
  </si>
  <si>
    <t>Israel Barragan</t>
  </si>
  <si>
    <t>barbara76@hotmail.com</t>
  </si>
  <si>
    <t>0cede563-5f38-42bf-93ca-f67930084cf1</t>
  </si>
  <si>
    <t>Ing. Elsa Prieto</t>
  </si>
  <si>
    <t>marisol14@maestas.com</t>
  </si>
  <si>
    <t>4143d835-b0c6-4920-b3a2-df5339be92e0</t>
  </si>
  <si>
    <t>Bianca Abel Valentín Alarcon</t>
  </si>
  <si>
    <t>mendezmonica@chacon.com</t>
  </si>
  <si>
    <t>6e634080-3cde-4f41-b8b8-f7a29d0086fa</t>
  </si>
  <si>
    <t>Emiliano Liliana Olivares Bañuelos</t>
  </si>
  <si>
    <t>eugenio20@yahoo.com</t>
  </si>
  <si>
    <t>5118c46e-3697-423d-b0f6-bcb15c09e38d</t>
  </si>
  <si>
    <t>Marcos Adriana Orosco Bétancourt</t>
  </si>
  <si>
    <t>franciscabonilla@yahoo.com</t>
  </si>
  <si>
    <t>673092af-8716-453b-88f4-efdc6f33c1e5</t>
  </si>
  <si>
    <t>Aldo Lira</t>
  </si>
  <si>
    <t>riveraleonardo@carrasco.com</t>
  </si>
  <si>
    <t>757f4440-b8cd-45b5-9b13-c97ac0e0b03c</t>
  </si>
  <si>
    <t>Delia Wilfrido Valladares Tapia</t>
  </si>
  <si>
    <t>dolores01@gmail.com</t>
  </si>
  <si>
    <t>ee97ba16-5d7f-4349-b9a0-cc9069b8707b</t>
  </si>
  <si>
    <t xml:space="preserve">Tablet-Mini-16GB </t>
  </si>
  <si>
    <t>Evelio Holguín Galarza</t>
  </si>
  <si>
    <t>aurelio09@fuentes.com</t>
  </si>
  <si>
    <t>2f004d71-2bd5-4fdb-a629-c4409dbaf7b8</t>
  </si>
  <si>
    <t>Gonzalo Cortés Nieto</t>
  </si>
  <si>
    <t>cabanmauricio@partida-barrios.net</t>
  </si>
  <si>
    <t>f175c4e2-a107-42a1-87d8-ae02bbeada76</t>
  </si>
  <si>
    <t>Tania José Salcedo</t>
  </si>
  <si>
    <t>german49@yahoo.com</t>
  </si>
  <si>
    <t>7c83c051-cdef-4ee9-99b8-ab628e7e0137</t>
  </si>
  <si>
    <t>Ignacio Leonor Guajardo</t>
  </si>
  <si>
    <t>florenciaescamilla@industrias.com</t>
  </si>
  <si>
    <t>2ecd07a3-c49e-486f-a9f0-9a7b1dc20737</t>
  </si>
  <si>
    <t>Ing. Vanesa Bustos</t>
  </si>
  <si>
    <t>ccintron@gmail.com</t>
  </si>
  <si>
    <t>7973d01c-f337-48a1-8f89-e3be9acd41ae</t>
  </si>
  <si>
    <t>Órsula Guardado</t>
  </si>
  <si>
    <t>pradooctavio@yahoo.com</t>
  </si>
  <si>
    <t>36046905-c325-4177-8dd6-ef3a3eefbe09</t>
  </si>
  <si>
    <t>Esperanza Domínguez</t>
  </si>
  <si>
    <t>eveliz@verdugo-covarrubias.com</t>
  </si>
  <si>
    <t>159a0e2b-f468-4295-9e69-b0d9dd79d890</t>
  </si>
  <si>
    <t>Sr(a). Carlota Torrez</t>
  </si>
  <si>
    <t>camilapuente@hotmail.com</t>
  </si>
  <si>
    <t>32958c32-9158-41e9-a53a-1fc911df997a</t>
  </si>
  <si>
    <t>Lilia Bétancourt Parra</t>
  </si>
  <si>
    <t>martha43@gmail.com</t>
  </si>
  <si>
    <t>5a5c3350-ddcf-484e-8349-4b078818dfc5</t>
  </si>
  <si>
    <t>Luisa Gilberto Trujillo</t>
  </si>
  <si>
    <t>rolando62@hotmail.com</t>
  </si>
  <si>
    <t>62a79a02-2ff5-4434-a42e-150fc8d403dd</t>
  </si>
  <si>
    <t>María Cristina Rebeca Quiñones Davila</t>
  </si>
  <si>
    <t>teresa90@yahoo.com</t>
  </si>
  <si>
    <t>a2820ce9-6172-4e14-acb4-dbc156430397</t>
  </si>
  <si>
    <t>Dalia María Cristina Robledo Escobar</t>
  </si>
  <si>
    <t>galvancamilo@santana-farias.com</t>
  </si>
  <si>
    <t>41cf07f1-c8b8-4719-8e87-4c6a66e4a90e</t>
  </si>
  <si>
    <t>Karina Galvez Duran</t>
  </si>
  <si>
    <t>navajose-eduardo@peralta.org</t>
  </si>
  <si>
    <t>39df2d77-4667-462c-a9a5-a4502b01e2af</t>
  </si>
  <si>
    <t>Nancy Horacio Porras</t>
  </si>
  <si>
    <t>karinajaimes@grupo.net</t>
  </si>
  <si>
    <t>6486d7e7-8b63-4036-a105-6f846c2be7ab</t>
  </si>
  <si>
    <t>Dr. Agustín Sandoval</t>
  </si>
  <si>
    <t>cornelio15@grupo.com</t>
  </si>
  <si>
    <t>1a1b2b13-06f4-45bf-a9e9-678df211aedf</t>
  </si>
  <si>
    <t>German Corral</t>
  </si>
  <si>
    <t>eloy50@despacho.com</t>
  </si>
  <si>
    <t>87c5ffd3-6c28-4101-af3b-154ff4ae6392</t>
  </si>
  <si>
    <t>German Leon</t>
  </si>
  <si>
    <t>xespinosa@maestas-zambrano.org</t>
  </si>
  <si>
    <t>d4f65876-1ffb-4376-ac69-30bc4a1f11d5</t>
  </si>
  <si>
    <t>Estela Tijerina</t>
  </si>
  <si>
    <t>guzmanalfonso@molina.com</t>
  </si>
  <si>
    <t>96edea28-2897-4637-85bd-60acc395c4c4</t>
  </si>
  <si>
    <t>Lic. Anel Cervantez</t>
  </si>
  <si>
    <t>casanovahugo@yahoo.com</t>
  </si>
  <si>
    <t>758acf48-c5d8-4ad9-8a21-e3e1440e091e</t>
  </si>
  <si>
    <t>Lic. Ignacio Corrales</t>
  </si>
  <si>
    <t>veronicagaona@yahoo.com</t>
  </si>
  <si>
    <t>68461278-65b9-41b1-b4b7-f73c4451f4cf</t>
  </si>
  <si>
    <t>Mariano Borrego</t>
  </si>
  <si>
    <t>galindoabelardo@hotmail.com</t>
  </si>
  <si>
    <t>45b0ad4b-932c-441b-b413-53565decfa94</t>
  </si>
  <si>
    <t>Barbara Perla Godínez</t>
  </si>
  <si>
    <t>yolandamontalvo@gmail.com</t>
  </si>
  <si>
    <t>1dada63c-2f5a-48d7-8e04-d26aacd30687</t>
  </si>
  <si>
    <t xml:space="preserve">Teléfono-Gama baja-32GB </t>
  </si>
  <si>
    <t>Veronica de Leon Covarrubias</t>
  </si>
  <si>
    <t>gzelaya@gmail.com</t>
  </si>
  <si>
    <t>0461093f-4c28-41d9-b8c1-8f858b8a8164</t>
  </si>
  <si>
    <t>Carmen Colunga</t>
  </si>
  <si>
    <t>cesar12@hotmail.com</t>
  </si>
  <si>
    <t>95e49e46-be39-496b-8a9b-52bd39505406</t>
  </si>
  <si>
    <t>Wendolin Elvia Osorio Gallardo</t>
  </si>
  <si>
    <t>camilareyes@yahoo.com</t>
  </si>
  <si>
    <t>b530707f-4d7d-4afc-bde4-e36c5328a487</t>
  </si>
  <si>
    <t>Sandra Cornelio Nava Galarza</t>
  </si>
  <si>
    <t>gaonagabriel@proyectos.org</t>
  </si>
  <si>
    <t>8a075c13-f70b-4b5b-909b-e961bf332236</t>
  </si>
  <si>
    <t>Eugenio Monica Reséndez</t>
  </si>
  <si>
    <t>rduarte@hotmail.com</t>
  </si>
  <si>
    <t>2acb1d18-6de4-4e08-ab0f-a43239b072ab</t>
  </si>
  <si>
    <t>Espartaco Godoy Fuentes</t>
  </si>
  <si>
    <t>natividad96@toro.biz</t>
  </si>
  <si>
    <t>ec823a46-e1bb-48d2-a563-9abba872b426</t>
  </si>
  <si>
    <t>Judith José María Menchaca Nieves</t>
  </si>
  <si>
    <t>anabelgalarza@gmail.com</t>
  </si>
  <si>
    <t>bf0d8fdb-9d95-48a0-8ea7-0981d07129f1</t>
  </si>
  <si>
    <t>Dr. Emilio Leiva</t>
  </si>
  <si>
    <t>mejiaricardo@yahoo.com</t>
  </si>
  <si>
    <t>9a710806-780e-4656-b1d2-a4266eab7458</t>
  </si>
  <si>
    <t>Auriculares-Cancelación de ruido-32GB</t>
  </si>
  <si>
    <t>Yeni Tafoya</t>
  </si>
  <si>
    <t>umata@despacho.com</t>
  </si>
  <si>
    <t>b8d7d438-42a6-490e-878a-eabf47bc2626</t>
  </si>
  <si>
    <t>Noemí Julia Zepeda</t>
  </si>
  <si>
    <t>gilalta-gracia@miramontes.com</t>
  </si>
  <si>
    <t>102bcf63-b887-46cb-8d4f-8c9404340da9</t>
  </si>
  <si>
    <t>Victoria Gurule</t>
  </si>
  <si>
    <t>acovarrubias@yahoo.com</t>
  </si>
  <si>
    <t>26d71239-8773-4f98-a147-880cc7ae84cb</t>
  </si>
  <si>
    <t>Dolores Minerva Frías Baeza</t>
  </si>
  <si>
    <t>maria-eugenia48@industrias.com</t>
  </si>
  <si>
    <t>08148c4c-9768-48b2-a627-96eb9c4ecb15</t>
  </si>
  <si>
    <t>Aldonza Arriaga</t>
  </si>
  <si>
    <t>benjaminguerra@yahoo.com</t>
  </si>
  <si>
    <t>2d413f59-b03c-479d-84d2-e6d17034f1ce</t>
  </si>
  <si>
    <t>Liliana Pedraza</t>
  </si>
  <si>
    <t>ninovictor@gmail.com</t>
  </si>
  <si>
    <t>8b0b8f3a-d8c5-47fe-9e94-09d8d82d6464</t>
  </si>
  <si>
    <t>Hilda Soto Serna</t>
  </si>
  <si>
    <t>eric39@gmail.com</t>
  </si>
  <si>
    <t>6658ba19-5ccb-4206-84b8-fcfc241901bd</t>
  </si>
  <si>
    <t>Jonas Corrales</t>
  </si>
  <si>
    <t>whuerta@cornejo.com</t>
  </si>
  <si>
    <t>5deb41b9-32d8-431b-91ea-ba2fc94ad0f0</t>
  </si>
  <si>
    <t>Berta Aldonza Toro Colunga</t>
  </si>
  <si>
    <t>merazoliver@yahoo.com</t>
  </si>
  <si>
    <t>b159a2a3-ef00-43a9-86db-5aa4f2337f02</t>
  </si>
  <si>
    <t>Mercedes Amanda Jurado Centeno</t>
  </si>
  <si>
    <t>bacaelvia@gmail.com</t>
  </si>
  <si>
    <t>fcfe31f4-1827-4f08-8c09-fac8682e5bbc</t>
  </si>
  <si>
    <t>Eric Lorenzo Raya</t>
  </si>
  <si>
    <t>francisco-javier56@gmail.com</t>
  </si>
  <si>
    <t>699048e6-5415-4dd4-ada9-8e6e4a549eb2</t>
  </si>
  <si>
    <t>José Carlos Soledad Osorio Rodrígez</t>
  </si>
  <si>
    <t>daliavillagomez@gmail.com</t>
  </si>
  <si>
    <t>ff0b4f20-17ed-4610-9fc5-30d4da7e79e4</t>
  </si>
  <si>
    <t>Lic. Mariana Urbina</t>
  </si>
  <si>
    <t>daniela26@hotmail.com</t>
  </si>
  <si>
    <t>cd9cf7e0-6da4-41df-8be9-2d02844b1c31</t>
  </si>
  <si>
    <t>Mateo Flavio Uribe García</t>
  </si>
  <si>
    <t>eesquibel@campos.info</t>
  </si>
  <si>
    <t>de92a9b2-739f-4ffe-aeb7-97d14d474602</t>
  </si>
  <si>
    <t>Manuel Ivan Alarcon Noriega</t>
  </si>
  <si>
    <t>claudia30@hotmail.com</t>
  </si>
  <si>
    <t>d513a436-d4fe-4ff3-8ec9-e92a32ed8cc7</t>
  </si>
  <si>
    <t>Agustín Rocha</t>
  </si>
  <si>
    <t>vparra@gmail.com</t>
  </si>
  <si>
    <t>bd82514d-6aed-4ca8-885d-60312b6b736b</t>
  </si>
  <si>
    <t>Luz Eduardo Villegas Leon</t>
  </si>
  <si>
    <t>wmontoya@yahoo.com</t>
  </si>
  <si>
    <t>9e5f6867-749d-4b5b-97ef-2330c2558d3d</t>
  </si>
  <si>
    <t>Lorenzo Zaragoza Niño</t>
  </si>
  <si>
    <t>yeni63@gmail.com</t>
  </si>
  <si>
    <t>afbe8b22-f099-435c-a4a9-2882252b6103</t>
  </si>
  <si>
    <t>Magdalena del Río Covarrubias</t>
  </si>
  <si>
    <t>xramirez@laboratorios.com</t>
  </si>
  <si>
    <t>df30a4f3-dbd9-408b-aef6-130263821f4b</t>
  </si>
  <si>
    <t>Nadia Ana María Merino Arteaga</t>
  </si>
  <si>
    <t>arico@almaraz-ontiveros.com</t>
  </si>
  <si>
    <t>446489c3-d916-48e8-af47-535cb42956ac</t>
  </si>
  <si>
    <t>Ing. Marcela Guzman</t>
  </si>
  <si>
    <t>dvillegas@despacho.com</t>
  </si>
  <si>
    <t>56344cb2-c22e-400d-87dd-49a631ced56f</t>
  </si>
  <si>
    <t>Marisol Espinosa Briones</t>
  </si>
  <si>
    <t>santacruzanel@hotmail.com</t>
  </si>
  <si>
    <t>1a50b4b1-1657-4b5e-a237-9cfb5c083efc</t>
  </si>
  <si>
    <t>Victoria Cabrera Armenta</t>
  </si>
  <si>
    <t>blancaromero@armenta-murillo.com</t>
  </si>
  <si>
    <t>bfe71cbd-5340-41ca-b9f4-c5301c10428f</t>
  </si>
  <si>
    <t>Paulina Garibay Gracia</t>
  </si>
  <si>
    <t>eugenio94@yahoo.com</t>
  </si>
  <si>
    <t>3c957274-31de-4637-8c46-828eb2c095e9</t>
  </si>
  <si>
    <t>Olga Evelio Solorio</t>
  </si>
  <si>
    <t>isabela60@hotmail.com</t>
  </si>
  <si>
    <t>a54ade2d-7062-4dcd-a41a-a92c117729ad</t>
  </si>
  <si>
    <t>Alfonso Alejandra Aguilera</t>
  </si>
  <si>
    <t>bfajardo@suarez.info</t>
  </si>
  <si>
    <t>c4d429ce-cdcb-4f2a-b91c-26eac3db495e</t>
  </si>
  <si>
    <t>Marcos Amador</t>
  </si>
  <si>
    <t>maria-eugeniairizarry@gmail.com</t>
  </si>
  <si>
    <t>75ce132e-b6d1-4542-be19-8b8ae4cfee4c</t>
  </si>
  <si>
    <t>Lic. Rosalia Martínez</t>
  </si>
  <si>
    <t>salma27@nieto-herrera.com</t>
  </si>
  <si>
    <t>862a25a8-b572-4c67-85cb-bdd2f7503da7</t>
  </si>
  <si>
    <t>Lic. Juan Ortega</t>
  </si>
  <si>
    <t>ignaciochacon@gmail.com</t>
  </si>
  <si>
    <t>03d30ca8-82a1-4711-a969-6585129ef1c6</t>
  </si>
  <si>
    <t>María Eugenia Guajardo Ayala</t>
  </si>
  <si>
    <t>cervanteshermelinda@godinez.net</t>
  </si>
  <si>
    <t>42eeb64c-1110-40be-a856-c0a364fb8c30</t>
  </si>
  <si>
    <t>Elvia Pulido Brito</t>
  </si>
  <si>
    <t>oscar45@tovar.info</t>
  </si>
  <si>
    <t>261825fa-a4ad-4a21-a7ab-e2b644eaa67a</t>
  </si>
  <si>
    <t>Leonel Ponce</t>
  </si>
  <si>
    <t>pazrocio@gmail.com</t>
  </si>
  <si>
    <t>fa9e790b-934a-4153-b8d1-cb8319d59c61</t>
  </si>
  <si>
    <t>Ignacio de la Garza</t>
  </si>
  <si>
    <t>rodolfolucio@gmail.com</t>
  </si>
  <si>
    <t>0e47c0df-dd8b-487b-8097-21c972837f36</t>
  </si>
  <si>
    <t>Martha Tamayo Niño</t>
  </si>
  <si>
    <t>zguardado@grupo.biz</t>
  </si>
  <si>
    <t>d220d617-88a5-417d-906a-713dd8d57f69</t>
  </si>
  <si>
    <t>Elsa Alonso Rivera</t>
  </si>
  <si>
    <t>ulucero@gmail.com</t>
  </si>
  <si>
    <t>656f3966-abb8-497a-981c-4e2bec529c24</t>
  </si>
  <si>
    <t>Concepcion Isabel Becerra del Valle</t>
  </si>
  <si>
    <t>rubencanales@hotmail.com</t>
  </si>
  <si>
    <t>a98bfa4e-dd81-401d-b806-a98b5c514056</t>
  </si>
  <si>
    <t>Zoé Claudia Barraza Cornejo</t>
  </si>
  <si>
    <t>elvirasepulveda@corporacin.com</t>
  </si>
  <si>
    <t>3341556d-8dc1-42f2-b455-3a339ff909cd</t>
  </si>
  <si>
    <t>Ing. Hernan Vallejo</t>
  </si>
  <si>
    <t>sernaemilia@yahoo.com</t>
  </si>
  <si>
    <t>f0291dc4-c15b-4bcc-97f0-04c50c8926f6</t>
  </si>
  <si>
    <t>María Cristina Raquel Carranza Orosco</t>
  </si>
  <si>
    <t>ernesto07@gmail.com</t>
  </si>
  <si>
    <t>3217ab5c-f143-443a-aece-3a47846a3ff2</t>
  </si>
  <si>
    <t>Violeta Celia Valverde</t>
  </si>
  <si>
    <t>silvano66@proyectos.com</t>
  </si>
  <si>
    <t>60d8025a-b531-49e9-a8a9-cc068cf74685</t>
  </si>
  <si>
    <t>Yolanda Rafaél Gamez</t>
  </si>
  <si>
    <t>saavedrafelipe@yahoo.com</t>
  </si>
  <si>
    <t>d9c1410d-a481-442e-a55e-c877ab1e7b3f</t>
  </si>
  <si>
    <t>Laura Vaca Madera</t>
  </si>
  <si>
    <t>gfranco@grupo.com</t>
  </si>
  <si>
    <t>0cf77e4b-7fd3-4462-8680-6cbd693e9c0f</t>
  </si>
  <si>
    <t>Hermelinda Mota</t>
  </si>
  <si>
    <t>quirozjose-maria@valdivia.biz</t>
  </si>
  <si>
    <t>46378c72-4067-4729-b1e5-3d39203ab930</t>
  </si>
  <si>
    <t>Ángel Aldo Tello Noriega</t>
  </si>
  <si>
    <t>rivascristian@grupo.com</t>
  </si>
  <si>
    <t>60961cdf-09a7-4a32-8c6c-2d05f517439d</t>
  </si>
  <si>
    <t>Mtro. Magdalena Morales</t>
  </si>
  <si>
    <t>catalina33@yahoo.com</t>
  </si>
  <si>
    <t>9d83faf6-b95d-4623-85a1-78d8b416dd3f</t>
  </si>
  <si>
    <t>Lorenzo Minerva Ocampo Aguilar</t>
  </si>
  <si>
    <t>qsolorzano@despacho.com</t>
  </si>
  <si>
    <t>7a66e4f7-bc95-4384-85ad-39070d893921</t>
  </si>
  <si>
    <t>Arcelia Nieves</t>
  </si>
  <si>
    <t>xalva@cazares-santillan.biz</t>
  </si>
  <si>
    <t>d5751f29-c753-47da-9e7a-d5ed1090b0ad</t>
  </si>
  <si>
    <t>Frida Alba</t>
  </si>
  <si>
    <t>carmen91@gonzales.org</t>
  </si>
  <si>
    <t>817537ef-9729-49a5-8458-d7108a639dab</t>
  </si>
  <si>
    <t>Mtro. Carmen Leyva</t>
  </si>
  <si>
    <t>reynadulce-maria@hotmail.com</t>
  </si>
  <si>
    <t>15d306a8-d422-44fb-9ae9-88cc0402b65d</t>
  </si>
  <si>
    <t>Alejandra Araceli Gutiérrez</t>
  </si>
  <si>
    <t>jtovar@trujillo-orellana.com</t>
  </si>
  <si>
    <t>0ada26be-f753-405b-a1a4-3599df81e700</t>
  </si>
  <si>
    <t>Jeronimo Julia Peralta</t>
  </si>
  <si>
    <t>mireleshector@vigil.com</t>
  </si>
  <si>
    <t>c499769d-908e-43f6-bd30-c1817bd0deff</t>
  </si>
  <si>
    <t>Sr(a). Vicente Ureña</t>
  </si>
  <si>
    <t>lsalas@grupo.org</t>
  </si>
  <si>
    <t>1c44a1fd-cb0c-401e-8e21-c1a8d9242148</t>
  </si>
  <si>
    <t>Ing. Alejandra Delgadillo</t>
  </si>
  <si>
    <t>casaresramon@hotmail.com</t>
  </si>
  <si>
    <t>bc02e752-e8f9-4729-a7cd-24ba1ff00164</t>
  </si>
  <si>
    <t>Antonio Juana Soria</t>
  </si>
  <si>
    <t>israel13@aviles.biz</t>
  </si>
  <si>
    <t>8dbce9a8-4e8c-41c7-a836-12fe71b7ad0a</t>
  </si>
  <si>
    <t>Patricio Palomino</t>
  </si>
  <si>
    <t>carolinaoquendo@industrias.net</t>
  </si>
  <si>
    <t>b3d5e0b4-2834-4e54-a96a-d9085614ca23</t>
  </si>
  <si>
    <t>Elias Sotelo Espinal</t>
  </si>
  <si>
    <t>tvalle@guzman.org</t>
  </si>
  <si>
    <t>4082ebc9-a484-41c7-ae7f-fcdfa5f8c7f8</t>
  </si>
  <si>
    <t>Mtro. Camila Montemayor</t>
  </si>
  <si>
    <t>jose-eduardo21@yahoo.com</t>
  </si>
  <si>
    <t>a6735135-46d8-4997-ad55-d449e18fd075</t>
  </si>
  <si>
    <t xml:space="preserve">Teléfono-Gama alta-32GB </t>
  </si>
  <si>
    <t>Aldonza Hernan Sosa</t>
  </si>
  <si>
    <t>gracielasosa@gmail.com</t>
  </si>
  <si>
    <t>4c53a9db-d0fe-42d8-a909-921633d44173</t>
  </si>
  <si>
    <t>Gabino Conchita Bueno</t>
  </si>
  <si>
    <t>wvega@yahoo.com</t>
  </si>
  <si>
    <t>c46fe29a-c3e5-4c00-b9ea-94b719c84734</t>
  </si>
  <si>
    <t>Ruby Virginia Salcido</t>
  </si>
  <si>
    <t>zoe99@ornelas.com</t>
  </si>
  <si>
    <t>10459092-6977-440d-ad85-b85e03763cf7</t>
  </si>
  <si>
    <t>Cristian Jacinto Ornelas</t>
  </si>
  <si>
    <t>darenas@corporacin.org</t>
  </si>
  <si>
    <t>9c66ca34-d486-44b8-bf48-2843a252f7a0</t>
  </si>
  <si>
    <t>Eloisa Octavio Quintero</t>
  </si>
  <si>
    <t>griegomonica@yahoo.com</t>
  </si>
  <si>
    <t>80c340bc-bd50-477d-a7dc-27237bf10b22</t>
  </si>
  <si>
    <t>Reynaldo Darío Rivas</t>
  </si>
  <si>
    <t>ynavarro@gmail.com</t>
  </si>
  <si>
    <t>357c27a8-d03f-45e6-be30-3565ec6d4ff5</t>
  </si>
  <si>
    <t>Nelly Hernan Ríos Guardado</t>
  </si>
  <si>
    <t>francisco-javiersalcedo@hotmail.com</t>
  </si>
  <si>
    <t>c6f0a1e2-99c5-4a17-b0d8-ad6d416c81cc</t>
  </si>
  <si>
    <t>Gerardo Monica Cornejo Collado</t>
  </si>
  <si>
    <t>verduzcohilda@merino.biz</t>
  </si>
  <si>
    <t>f4841777-97d3-4cce-bc0f-17c21f34e253</t>
  </si>
  <si>
    <t>Esparta Gracia</t>
  </si>
  <si>
    <t>leonorbermudez@nieves.info</t>
  </si>
  <si>
    <t>7d131cdc-d20b-4dba-ba8c-67f9adbbcf3b</t>
  </si>
  <si>
    <t>Citlali Jorge Gastélum</t>
  </si>
  <si>
    <t>patricia75@corporacin.com</t>
  </si>
  <si>
    <t>b7d845eb-4a64-4099-a793-3f93363ea49e</t>
  </si>
  <si>
    <t>René Luna Pineda</t>
  </si>
  <si>
    <t>hocampo@corporacin.net</t>
  </si>
  <si>
    <t>75b08c4a-c440-4f59-a757-c070085c6101</t>
  </si>
  <si>
    <t>Jaime Gomez</t>
  </si>
  <si>
    <t>cabreraleonel@yahoo.com</t>
  </si>
  <si>
    <t>8204039a-5541-4976-bc5b-19da90d1ecf0</t>
  </si>
  <si>
    <t>Camilo Terrazas Merino</t>
  </si>
  <si>
    <t>julio-cesarrazo@hotmail.com</t>
  </si>
  <si>
    <t>97a11539-f994-4f4b-9252-85c25f05e297</t>
  </si>
  <si>
    <t>Ramon Godoy</t>
  </si>
  <si>
    <t>yolanda26@montemayor.biz</t>
  </si>
  <si>
    <t>e686ffbf-1106-4e80-9c74-30ed3ca60174</t>
  </si>
  <si>
    <t>Amador Juan Tafoya Hinojosa</t>
  </si>
  <si>
    <t>jose-emiliovillanueva@hotmail.com</t>
  </si>
  <si>
    <t>95d058cf-b6bc-4829-8814-0306aba9f164</t>
  </si>
  <si>
    <t>Yuridia Madrid</t>
  </si>
  <si>
    <t>kmurillo@proyectos.net</t>
  </si>
  <si>
    <t>5b24d4c8-65a7-4ec1-8ca1-f46584e4d7f7</t>
  </si>
  <si>
    <t>Humberto Rosas</t>
  </si>
  <si>
    <t>andresquinonez@yahoo.com</t>
  </si>
  <si>
    <t>98bc06e4-82c3-4589-93d7-e941e1ae7c85</t>
  </si>
  <si>
    <t>Ing. Liliana Puente</t>
  </si>
  <si>
    <t>rebeca22@yahoo.com</t>
  </si>
  <si>
    <t>49d7397b-eb15-4d2d-b30b-8f6ca86b2125</t>
  </si>
  <si>
    <t>Miguel Luis Giron Montañez</t>
  </si>
  <si>
    <t>saucedaconcepcion@hotmail.com</t>
  </si>
  <si>
    <t>d59afe7f-49e3-483a-97f5-ce81f54d250f</t>
  </si>
  <si>
    <t>Karla Berríos</t>
  </si>
  <si>
    <t>tmontoya@gmail.com</t>
  </si>
  <si>
    <t>34e4f422-3bd5-496a-af08-11ecf5856460</t>
  </si>
  <si>
    <t>Íliver Ulloa</t>
  </si>
  <si>
    <t>anel88@lugo.com</t>
  </si>
  <si>
    <t>0d9c3f44-a748-478b-8652-36bac0fde7f7</t>
  </si>
  <si>
    <t>María José Zeferino Avilés Zarate</t>
  </si>
  <si>
    <t>pelayojaqueline@hotmail.com</t>
  </si>
  <si>
    <t>404fea2a-d896-4427-a0d6-e0581df99ba3</t>
  </si>
  <si>
    <t>Sr(a). Ángela Navarro</t>
  </si>
  <si>
    <t>olivertejada@hotmail.com</t>
  </si>
  <si>
    <t>bfb5f658-102d-4d01-bec2-1f4cced1bbef</t>
  </si>
  <si>
    <t>Sergio Hugo Benavídez García</t>
  </si>
  <si>
    <t>jaquezesteban@gmail.com</t>
  </si>
  <si>
    <t>c100b479-c169-4f62-8d2a-82994a8ef0fa</t>
  </si>
  <si>
    <t>Salvador Barela</t>
  </si>
  <si>
    <t>itapia@despacho.com</t>
  </si>
  <si>
    <t>11a0323a-7513-4fd6-84cf-79c923b2e72e</t>
  </si>
  <si>
    <t>Sr(a). Carlota Aguayo</t>
  </si>
  <si>
    <t>auroralugo@acuna-mercado.com</t>
  </si>
  <si>
    <t>d58eb71d-bd78-4ec3-8a70-34213c01464b</t>
  </si>
  <si>
    <t>Sr(a). Monica Cortez</t>
  </si>
  <si>
    <t>benito43@corporacin.com</t>
  </si>
  <si>
    <t>814e531c-1781-4af9-86e2-0da4494565c9</t>
  </si>
  <si>
    <t>Abel Véliz</t>
  </si>
  <si>
    <t>eduardo20@club.org</t>
  </si>
  <si>
    <t>499ebdfa-358c-41aa-8d92-cc8b5259dfd0</t>
  </si>
  <si>
    <t>Gilberto Arellano Lozano</t>
  </si>
  <si>
    <t>de-la-fuentemanuel@yahoo.com</t>
  </si>
  <si>
    <t>5659c3e8-e722-4ce4-a66f-283a33db3b2a</t>
  </si>
  <si>
    <t>Cristina Miguel Madrid</t>
  </si>
  <si>
    <t>wnevarez@perea.com</t>
  </si>
  <si>
    <t>d710fc03-2b70-47e7-9fe6-590b75fdde09</t>
  </si>
  <si>
    <t>Ing. Blanca Alfaro</t>
  </si>
  <si>
    <t>jaime62@industrias.com</t>
  </si>
  <si>
    <t>850ed2df-b6ba-4845-90f3-4d82ffd954aa</t>
  </si>
  <si>
    <t>Rocío José Luis Villareal Vargas</t>
  </si>
  <si>
    <t>ramon28@gmail.com</t>
  </si>
  <si>
    <t>5c84518e-8046-4ee0-802c-5c7e6eafa4c6</t>
  </si>
  <si>
    <t>Ing. Cristina Gamez</t>
  </si>
  <si>
    <t>jose-luis02@hotmail.com</t>
  </si>
  <si>
    <t>4bf38add-780a-44cc-839a-27eadcf0009e</t>
  </si>
  <si>
    <t>Mtro. Zeferino Oquendo</t>
  </si>
  <si>
    <t>lbarajas@alva-montalvo.com</t>
  </si>
  <si>
    <t>8a06b4fc-26f2-4b8b-827b-2c6a1f537edf</t>
  </si>
  <si>
    <t>Julio Fuentes</t>
  </si>
  <si>
    <t>vnavarro@gmail.com</t>
  </si>
  <si>
    <t>36de6ea0-d38c-4032-a4ab-885c917e6447</t>
  </si>
  <si>
    <t>Lic. Pedro Jasso</t>
  </si>
  <si>
    <t>forosco@mesa.biz</t>
  </si>
  <si>
    <t>dd6c8ba4-bdce-4e89-8a25-248a85e34e96</t>
  </si>
  <si>
    <t>Lic. Patricia Feliciano</t>
  </si>
  <si>
    <t>pcruz@zelaya.com</t>
  </si>
  <si>
    <t>b9c6fc20-68c7-453f-b881-23c480cd6bd2</t>
  </si>
  <si>
    <t>Fidel Celia Roque Vallejo</t>
  </si>
  <si>
    <t>gamezjonas@estevez.org</t>
  </si>
  <si>
    <t>b2ccd416-d146-4511-9bd6-7eb3bd7333c6</t>
  </si>
  <si>
    <t>Victoria Wendolin Terrazas Carvajal</t>
  </si>
  <si>
    <t>avalosjosefina@gmail.com</t>
  </si>
  <si>
    <t>e469cff8-fcc0-4664-b06d-c801efd84779</t>
  </si>
  <si>
    <t>Mtro. Emiliano Estévez</t>
  </si>
  <si>
    <t>ballesterosevelio@yahoo.com</t>
  </si>
  <si>
    <t>d06b5f3f-acab-4f8e-bf1a-8c1dfe18228e</t>
  </si>
  <si>
    <t>Ing. Mitzy Ordoñez</t>
  </si>
  <si>
    <t>urielojeda@fierro-cordero.com</t>
  </si>
  <si>
    <t>d0cc2a3f-64b1-4463-bad8-280dbaa0e01e</t>
  </si>
  <si>
    <t>Alfonso Geronimo Tovar Merino</t>
  </si>
  <si>
    <t>xnino@yahoo.com</t>
  </si>
  <si>
    <t>0a194163-91a5-4990-a439-13d2a04cdd0d</t>
  </si>
  <si>
    <t>Jeronimo José Manuél Magaña</t>
  </si>
  <si>
    <t>amaliaespino@mota-bernal.info</t>
  </si>
  <si>
    <t>63646080-8a8e-4da1-9008-d9bbefce4fdd</t>
  </si>
  <si>
    <t>Oswaldo Jorge Mota</t>
  </si>
  <si>
    <t>luis-manuelperes@club.info</t>
  </si>
  <si>
    <t>c6836bfa-f154-46e7-81fa-88577b4553a6</t>
  </si>
  <si>
    <t>Zeferino Clara Ureña Ramos</t>
  </si>
  <si>
    <t>anaranjo@despacho.com</t>
  </si>
  <si>
    <t>00f3b5c0-94a8-46ed-a8a8-4d11bde44da7</t>
  </si>
  <si>
    <t>Eva Julio Corrales</t>
  </si>
  <si>
    <t>ilebron@yahoo.com</t>
  </si>
  <si>
    <t>d8feecfb-981d-4008-b113-8a7aba34e4b1</t>
  </si>
  <si>
    <t>Eva Rivas Gallardo</t>
  </si>
  <si>
    <t>lpacheco@yahoo.com</t>
  </si>
  <si>
    <t>5d5d2fc9-2318-4ab5-b209-bb096e9dc1a1</t>
  </si>
  <si>
    <t>Gilberto Tamez Sanches</t>
  </si>
  <si>
    <t>gcotto@alcala-espinoza.com</t>
  </si>
  <si>
    <t>239ba516-3ba4-4ab3-afd0-e7520e4284da</t>
  </si>
  <si>
    <t>Elias Carmen Téllez</t>
  </si>
  <si>
    <t>teresaaguirre@despacho.com</t>
  </si>
  <si>
    <t>6563276b-f905-470d-b64b-37b07114a824</t>
  </si>
  <si>
    <t>Socorro Arcelia Alejandro</t>
  </si>
  <si>
    <t>nazarioandrea@hotmail.com</t>
  </si>
  <si>
    <t>892ddf8c-3dff-4e70-bc34-fe5c8d39a78f</t>
  </si>
  <si>
    <t>Alejandro Aida Esquibel Candelaria</t>
  </si>
  <si>
    <t>cornelio81@hotmail.com</t>
  </si>
  <si>
    <t>a684008b-46bc-446c-9f1d-5210c524215e</t>
  </si>
  <si>
    <t>Camila Arcelia Enríquez Hinojosa</t>
  </si>
  <si>
    <t>ehernandez@nieto.com</t>
  </si>
  <si>
    <t>3f4e6744-9808-4bca-91b6-ef2b005468ab</t>
  </si>
  <si>
    <t>Claudio Ana Aguirre Urías</t>
  </si>
  <si>
    <t>celia37@guardado.com</t>
  </si>
  <si>
    <t>594ee58d-dd9f-43f8-bbcc-5f4716f3b8bf</t>
  </si>
  <si>
    <t>Adan Perla Orosco</t>
  </si>
  <si>
    <t>estebanespinal@hotmail.com</t>
  </si>
  <si>
    <t>61cc0a01-493f-48a6-8973-8cc3bf69bd4b</t>
  </si>
  <si>
    <t>Ing. Fernando Calderon</t>
  </si>
  <si>
    <t>cristinaarguello@del.info</t>
  </si>
  <si>
    <t>0877fac4-86db-45ad-94c8-6b0e1624953f</t>
  </si>
  <si>
    <t>Sr(a). Carla Nevarez</t>
  </si>
  <si>
    <t>gregoriocervantes@hotmail.com</t>
  </si>
  <si>
    <t>4e35c600-2a16-4f28-9de5-5ac2151674a5</t>
  </si>
  <si>
    <t>Eduardo Benavídez Leal</t>
  </si>
  <si>
    <t>mariana08@jurado.org</t>
  </si>
  <si>
    <t>710a2493-760b-4c29-8181-ee456d867a10</t>
  </si>
  <si>
    <t>Elena Guardado Enríquez</t>
  </si>
  <si>
    <t>carolina73@gmail.com</t>
  </si>
  <si>
    <t>a406d85a-6020-4738-b3ed-53d680678126</t>
  </si>
  <si>
    <t>Julia Najera</t>
  </si>
  <si>
    <t>santillancamila@hotmail.com</t>
  </si>
  <si>
    <t>7a847fe9-f974-4d38-9d3a-114f4c95ca6c</t>
  </si>
  <si>
    <t>Uriel Abel Rivero Vargas</t>
  </si>
  <si>
    <t>mariasevilla@caldera-valdivia.com</t>
  </si>
  <si>
    <t>b5d71709-4790-49a2-b5ad-435f7ed9b979</t>
  </si>
  <si>
    <t>José Manuél Barrios</t>
  </si>
  <si>
    <t>pserrano@gmail.com</t>
  </si>
  <si>
    <t>b34e56ee-bab9-42ce-a5f4-4476f3368f27</t>
  </si>
  <si>
    <t>Mtro. Perla Meléndez</t>
  </si>
  <si>
    <t>renedominguez@osorio.com</t>
  </si>
  <si>
    <t>98d1bc59-ba9c-4923-b9cd-06d3c57ffe57</t>
  </si>
  <si>
    <t>Santiago Frías</t>
  </si>
  <si>
    <t>nayelipedroza@samaniego.com</t>
  </si>
  <si>
    <t>2fcfe31d-bbe3-4d02-997b-2a688e44aa4a</t>
  </si>
  <si>
    <t>Elvira Laboy</t>
  </si>
  <si>
    <t>henriquezjose-maria@gurule.net</t>
  </si>
  <si>
    <t>29b35046-a922-4222-bb43-d4f2e673f05e</t>
  </si>
  <si>
    <t>Sr(a). Lucía Montoya</t>
  </si>
  <si>
    <t>jcintron@hotmail.com</t>
  </si>
  <si>
    <t>c048f440-4471-4f5b-8f49-4805f745f284</t>
  </si>
  <si>
    <t>Cynthia Aguilera Figueroa</t>
  </si>
  <si>
    <t>eloyarroyo@yahoo.com</t>
  </si>
  <si>
    <t>6a533065-10e9-417f-90b8-cc321916284c</t>
  </si>
  <si>
    <t>Arturo Haro Varela</t>
  </si>
  <si>
    <t>ssosa@hotmail.com</t>
  </si>
  <si>
    <t>2feb799d-af20-4c3b-99b5-36c59009058b</t>
  </si>
  <si>
    <t>Marcela Augusto Baca</t>
  </si>
  <si>
    <t>luisromo@grupo.org</t>
  </si>
  <si>
    <t>213520c6-9cb7-434b-bd54-ffac25a0f0c9</t>
  </si>
  <si>
    <t>Israel Paredes</t>
  </si>
  <si>
    <t>josefinacarrero@zavala.com</t>
  </si>
  <si>
    <t>448e14d0-eae1-4771-8c1c-dd1f4ea21088</t>
  </si>
  <si>
    <t>Lorenzo Collado Gastélum</t>
  </si>
  <si>
    <t>lorena10@gmail.com</t>
  </si>
  <si>
    <t>ad71df5b-e541-4c69-a100-86824806dfcc</t>
  </si>
  <si>
    <t>Amanda Baez</t>
  </si>
  <si>
    <t>zamudiooswaldo@rosales.com</t>
  </si>
  <si>
    <t>a7dfe4eb-5eeb-4472-bdee-bc2113869dcc</t>
  </si>
  <si>
    <t>Ing. Pilar Laboy</t>
  </si>
  <si>
    <t>gdel-valle@covarrubias-marquez.com</t>
  </si>
  <si>
    <t>86e384a9-c2a7-45ca-a673-368c949b7a96</t>
  </si>
  <si>
    <t>Cecilia Casas Ledesma</t>
  </si>
  <si>
    <t>gabinopolanco@gmail.com</t>
  </si>
  <si>
    <t>31af08be-2649-4947-9338-28fb518be843</t>
  </si>
  <si>
    <t>Órsula Cristian Ledesma Lara</t>
  </si>
  <si>
    <t>aholguin@industrias.com</t>
  </si>
  <si>
    <t>db925419-778f-4d29-963a-7f15f6e37629</t>
  </si>
  <si>
    <t>Lic. Berta Cortés</t>
  </si>
  <si>
    <t>malaveleonor@hotmail.com</t>
  </si>
  <si>
    <t>bedb2d59-276e-4a43-a057-2331a8689f9f</t>
  </si>
  <si>
    <t>Eugenio Marcos Lara</t>
  </si>
  <si>
    <t>guadalupe65@cervantez.info</t>
  </si>
  <si>
    <t>1f9cafc0-71e6-4941-89cd-cd0654b8509f</t>
  </si>
  <si>
    <t>Catalina Adela Galarza Camacho</t>
  </si>
  <si>
    <t>yfarias@industrias.com</t>
  </si>
  <si>
    <t>6685e5bb-9081-494c-b6aa-422ddb87955d</t>
  </si>
  <si>
    <t>Jesús Jimínez</t>
  </si>
  <si>
    <t>wadame@yahoo.com</t>
  </si>
  <si>
    <t>437715f5-b663-4ceb-8e4d-01760b5c39e8</t>
  </si>
  <si>
    <t>Ing. Abraham Giron</t>
  </si>
  <si>
    <t>socorrodel-valle@gmail.com</t>
  </si>
  <si>
    <t>fe56b9b6-8658-46ab-b178-142e1c6c32ec</t>
  </si>
  <si>
    <t>Marisol Lucio Perea</t>
  </si>
  <si>
    <t>helenanaranjo@roybal.org</t>
  </si>
  <si>
    <t>43e6f253-5964-4977-b9a4-0e5736909a2d</t>
  </si>
  <si>
    <t xml:space="preserve">Laptop-Gaming-32GB </t>
  </si>
  <si>
    <t>Esperanza Pablo Villa Segovia</t>
  </si>
  <si>
    <t>cortestrinidad@hotmail.com</t>
  </si>
  <si>
    <t>8cbd3d88-e898-4121-92bf-4315def5c26b</t>
  </si>
  <si>
    <t>Dr. Eloy Valles</t>
  </si>
  <si>
    <t>lucas66@hotmail.com</t>
  </si>
  <si>
    <t>df469a69-84f1-42dd-80d3-89ef0d15476d</t>
  </si>
  <si>
    <t>Susana Valadez de la Crúz</t>
  </si>
  <si>
    <t>qrosado@hotmail.com</t>
  </si>
  <si>
    <t>4f8944d0-df82-4668-beab-3dcdc6f3cf2f</t>
  </si>
  <si>
    <t>Emilio Alva</t>
  </si>
  <si>
    <t>veronicalongoria@hotmail.com</t>
  </si>
  <si>
    <t>2c896ee7-2283-43d2-9ff9-44e43322ed6f</t>
  </si>
  <si>
    <t>Micaela Zavala Borrego</t>
  </si>
  <si>
    <t>gcalvillo@gmail.com</t>
  </si>
  <si>
    <t>5d97fe11-f95b-42c8-8f10-ab98a05aedf1</t>
  </si>
  <si>
    <t>Cristobal Frida Lucero Chapa</t>
  </si>
  <si>
    <t>gregoriopuente@laboratorios.info</t>
  </si>
  <si>
    <t>1af3b08f-465e-4aef-884a-7fb512a724c1</t>
  </si>
  <si>
    <t>Abril Fonseca</t>
  </si>
  <si>
    <t>jorgecervantes@yahoo.com</t>
  </si>
  <si>
    <t>0c2c5144-f911-42db-bd29-5f8d9540954e</t>
  </si>
  <si>
    <t xml:space="preserve">Auriculares-Bluetooth-8GB </t>
  </si>
  <si>
    <t>Dr. Ramon Miramontes</t>
  </si>
  <si>
    <t>prietojorge@hotmail.com</t>
  </si>
  <si>
    <t>33b5cb0d-ba44-4160-8e1f-1175cb33b310</t>
  </si>
  <si>
    <t>María Cristina Esparta Partida Lozano</t>
  </si>
  <si>
    <t>valenzuelarodolfo@yahoo.com</t>
  </si>
  <si>
    <t>344db87d-a5d1-4172-aec9-fa915cf7c5b7</t>
  </si>
  <si>
    <t>Daniel Carlota Arredondo Linares</t>
  </si>
  <si>
    <t>olveraalvaro@hotmail.com</t>
  </si>
  <si>
    <t>50132920-f6aa-4e4d-8964-c48df8dcf12f</t>
  </si>
  <si>
    <t>Íliver Julio César Cervantes</t>
  </si>
  <si>
    <t>ncardenas@hotmail.com</t>
  </si>
  <si>
    <t>1ee6182c-86b4-4ebe-b5e3-4e371ac515a7</t>
  </si>
  <si>
    <t>Emilio Peres</t>
  </si>
  <si>
    <t>ovillalpando@hotmail.com</t>
  </si>
  <si>
    <t>67e78427-8d9f-40c5-b32d-df9777d2029d</t>
  </si>
  <si>
    <t>Dr. Irma Bañuelos</t>
  </si>
  <si>
    <t>hernadezalvaro@gmail.com</t>
  </si>
  <si>
    <t>2b9e4412-7cfc-4c93-b65b-fdd1b959ea0f</t>
  </si>
  <si>
    <t>Federico Matías</t>
  </si>
  <si>
    <t>florencia21@grupo.com</t>
  </si>
  <si>
    <t>f3f6eded-9605-463d-befb-0ec09cb7398f</t>
  </si>
  <si>
    <t>Elena Delgado Menéndez</t>
  </si>
  <si>
    <t>cristianbrito@gmail.com</t>
  </si>
  <si>
    <t>8ad2a9d2-c3c0-4b9e-8d31-bc798c2a566c</t>
  </si>
  <si>
    <t>Rubén Cecilia Zarate</t>
  </si>
  <si>
    <t>vcarreon@industrias.net</t>
  </si>
  <si>
    <t>9376962f-fb7b-4390-9eee-6e8d5c685697</t>
  </si>
  <si>
    <t>Martín Salma Bermúdez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</si>
  <si>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</si>
  <si>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</si>
  <si>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</si>
  <si>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</si>
  <si>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</si>
  <si>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Lic. Estela Vanegas</t>
  </si>
  <si>
    <t>asuncionespino@gmail.com</t>
  </si>
  <si>
    <t>24f20540-a81a-4ad1-acf0-df3af36dae7d</t>
  </si>
  <si>
    <t>Ángela Homero Bravo</t>
  </si>
  <si>
    <t>cruzhoracio@yahoo.com</t>
  </si>
  <si>
    <t>7a1fbf36-eb1f-47d5-9a36-263dd8af1257</t>
  </si>
  <si>
    <t>Lilia Esteban Lucio</t>
  </si>
  <si>
    <t>rosarioalmaraz@gmail.com</t>
  </si>
  <si>
    <t>26650ad1-0a4e-4c43-b8b0-99095f0adc66</t>
  </si>
  <si>
    <t>Indira Eugenia Fuentes</t>
  </si>
  <si>
    <t>cabreraabelardo@gmail.com</t>
  </si>
  <si>
    <t>3cef5bc2-1b15-4ce6-a4a3-3a3e5951e220</t>
  </si>
  <si>
    <t>Olivia Amelia Cadena</t>
  </si>
  <si>
    <t>barriosconchita@industrias.com</t>
  </si>
  <si>
    <t>4166e455-ac94-49a0-9bd8-7a5c8a17ac45</t>
  </si>
  <si>
    <t>Lic. Arturo Barraza</t>
  </si>
  <si>
    <t>nbarraza@yahoo.com</t>
  </si>
  <si>
    <t>0a5787f4-b611-4db3-9a36-d6bd45f0ce8e</t>
  </si>
  <si>
    <t>Mtro. Andrea Ríos</t>
  </si>
  <si>
    <t>ujasso@abreu-crespo.info</t>
  </si>
  <si>
    <t>c433376a-096b-4d0c-b385-da369f628996</t>
  </si>
  <si>
    <t>Alvaro Ontiveros</t>
  </si>
  <si>
    <t>elvira02@hotmail.com</t>
  </si>
  <si>
    <t>f04eeda0-c720-4430-b322-240c09bd8019</t>
  </si>
  <si>
    <t>Ing. Zacarías Padron</t>
  </si>
  <si>
    <t>rsosa@laboratorios.com</t>
  </si>
  <si>
    <t>4d35d453-5b30-4e58-a33c-a870dde7a68f</t>
  </si>
  <si>
    <t>German Bustos</t>
  </si>
  <si>
    <t>luis-miguelsantacruz@yahoo.com</t>
  </si>
  <si>
    <t>ee1c498f-9419-41b5-aad7-950f328bcf29</t>
  </si>
  <si>
    <t>Darío Antonia Medrano</t>
  </si>
  <si>
    <t>leonelponce@hotmail.com</t>
  </si>
  <si>
    <t>1721608b-9124-49ea-8ec0-ea350388ca09</t>
  </si>
  <si>
    <t>Lic. Marisol Toledo</t>
  </si>
  <si>
    <t>emilianovillanueva@grupo.org</t>
  </si>
  <si>
    <t>715a22e4-0dbf-4ab3-9d6d-bc8cfaed54f3</t>
  </si>
  <si>
    <t>José Aparicio</t>
  </si>
  <si>
    <t>olivia24@yahoo.com</t>
  </si>
  <si>
    <t>4185aaab-33a2-4e6e-bebe-5b6cf12100d2</t>
  </si>
  <si>
    <t>César Jimínez</t>
  </si>
  <si>
    <t>albertourena@yahoo.com</t>
  </si>
  <si>
    <t>5b96a097-c481-4d3e-86e5-63c57b646a68</t>
  </si>
  <si>
    <t>Maximiliano Puga</t>
  </si>
  <si>
    <t>ilongoria@gmail.com</t>
  </si>
  <si>
    <t>89989cae-b728-4235-9a32-5fbf288f2094</t>
  </si>
  <si>
    <t>Miguel Granados Oquendo</t>
  </si>
  <si>
    <t>raquelzamudio@corporacin.org</t>
  </si>
  <si>
    <t>3cad7de1-68ae-4cc7-b586-20c1f7e16a6f</t>
  </si>
  <si>
    <t>Dr. Zoé Alejandro</t>
  </si>
  <si>
    <t>psolorzano@proyectos.org</t>
  </si>
  <si>
    <t>43dd123c-830b-4e71-8f96-a6643feac4d9</t>
  </si>
  <si>
    <t>Dr. Graciela Garibay</t>
  </si>
  <si>
    <t>indiracarrasco@gmail.com</t>
  </si>
  <si>
    <t>d7d84721-5bb1-4a4d-b1af-1660508cc586</t>
  </si>
  <si>
    <t>Mtro. Marcos Rivas</t>
  </si>
  <si>
    <t>bbenavides@grupo.biz</t>
  </si>
  <si>
    <t>5b8c2387-f4d6-4823-8d42-a41707a832ef</t>
  </si>
  <si>
    <t>Federico Angulo</t>
  </si>
  <si>
    <t>federico70@velasco.biz</t>
  </si>
  <si>
    <t>b97d18e7-1657-470e-bc41-0860e9f0889b</t>
  </si>
  <si>
    <t>Virginia Aldonza Zamora Longoria</t>
  </si>
  <si>
    <t>bpacheco@hotmail.com</t>
  </si>
  <si>
    <t>512f8818-bb8d-466a-9f10-79bd8f52408b</t>
  </si>
  <si>
    <t>Diego Valdez</t>
  </si>
  <si>
    <t>ana-marialomeli@santana.net</t>
  </si>
  <si>
    <t>c9d412ed-c316-4612-a0d3-34580de6a8c0</t>
  </si>
  <si>
    <t>Caridad Alvarado</t>
  </si>
  <si>
    <t>geronimoalmonte@hotmail.com</t>
  </si>
  <si>
    <t>0290472b-3bf5-4451-95ed-11349e543e25</t>
  </si>
  <si>
    <t>Ing. Zacarías Galvan</t>
  </si>
  <si>
    <t>abrillemus@hotmail.com</t>
  </si>
  <si>
    <t>de4c96f0-b965-4289-ab99-9976cb8ce9b5</t>
  </si>
  <si>
    <t>Camilo Cervantez</t>
  </si>
  <si>
    <t>isaac33@gmail.com</t>
  </si>
  <si>
    <t>6a272f91-94e7-4624-af64-2a57ea5ea246</t>
  </si>
  <si>
    <t>Graciela Merino</t>
  </si>
  <si>
    <t>hernan45@yahoo.com</t>
  </si>
  <si>
    <t>c744e13d-7463-4060-ba2d-cdabdb1c3b2d</t>
  </si>
  <si>
    <t>Dr. César Portillo</t>
  </si>
  <si>
    <t>ireneberrios@torres.biz</t>
  </si>
  <si>
    <t>20632308-0231-4070-97bf-4fc82c188f74</t>
  </si>
  <si>
    <t>Gloria Caban Santana</t>
  </si>
  <si>
    <t>alejandra48@yahoo.com</t>
  </si>
  <si>
    <t>9183f20d-2692-4cfd-9433-54c64739a537</t>
  </si>
  <si>
    <t>Yolanda Elisa de la Garza</t>
  </si>
  <si>
    <t>rodrigo57@centeno-meza.org</t>
  </si>
  <si>
    <t>63bf917d-0951-46b0-8ecc-bca9b657690f</t>
  </si>
  <si>
    <t>Cristobal Renato Malave Mercado</t>
  </si>
  <si>
    <t>israel06@industrias.net</t>
  </si>
  <si>
    <t>c800eb85-be04-43c5-950c-4be1b628b942</t>
  </si>
  <si>
    <t>Olga Merino Benavides</t>
  </si>
  <si>
    <t>juanaceja@corporacin.org</t>
  </si>
  <si>
    <t>3d80365e-3ca4-4c40-b7b5-8655955878bf</t>
  </si>
  <si>
    <t>Cristina Alejandro</t>
  </si>
  <si>
    <t>mayteramon@gmail.com</t>
  </si>
  <si>
    <t>df1772a5-47bc-4e80-a07f-cca86b2ebcdc</t>
  </si>
  <si>
    <t>Jaqueline Velasquez Hidalgo</t>
  </si>
  <si>
    <t>oquendoyeni@gmail.com</t>
  </si>
  <si>
    <t>0bbe7dc7-b837-4dff-83eb-a691bf3d9337</t>
  </si>
  <si>
    <t>Paulina Cornejo</t>
  </si>
  <si>
    <t>mballesteros@escamilla-aguayo.info</t>
  </si>
  <si>
    <t>c0e13eaa-0352-4ecd-87d9-f5acfcbb40df</t>
  </si>
  <si>
    <t>Gerardo Elisa Franco</t>
  </si>
  <si>
    <t>nzapata@yahoo.com</t>
  </si>
  <si>
    <t>50041cfa-9dbe-4a33-855e-dfc293e0392e</t>
  </si>
  <si>
    <t>Uriel José María Mercado</t>
  </si>
  <si>
    <t>sevillaemiliano@yahoo.com</t>
  </si>
  <si>
    <t>7d923bc2-e260-42ce-af34-40f80a5bb97e</t>
  </si>
  <si>
    <t>Bernabé Colunga Cordero</t>
  </si>
  <si>
    <t>overa@hotmail.com</t>
  </si>
  <si>
    <t>a0229848-67ee-4a81-b13f-f722ded36349</t>
  </si>
  <si>
    <t>Dulce María Rendon Zedillo</t>
  </si>
  <si>
    <t>jassomarco-antonio@gmail.com</t>
  </si>
  <si>
    <t>dbe8b52b-292f-4415-82d6-3dad0ebf96c7</t>
  </si>
  <si>
    <t>Wilfrido Mariana Rivero Martínez</t>
  </si>
  <si>
    <t>darioquintero@grupo.biz</t>
  </si>
  <si>
    <t>efd76242-e0b5-4aca-8c44-84ce7f553f97</t>
  </si>
  <si>
    <t>Sara Jorge Alvarez</t>
  </si>
  <si>
    <t>micaela56@corporacin.com</t>
  </si>
  <si>
    <t>74aa1913-0ff5-4bb1-b6ab-0793b04293d5</t>
  </si>
  <si>
    <t>Alma Karina Munguía Paredes</t>
  </si>
  <si>
    <t>jaquelineontiveros@grupo.com</t>
  </si>
  <si>
    <t>770c656a-1e48-4e6d-8a82-6d225a04964e</t>
  </si>
  <si>
    <t>Sr(a). Mario Cortés</t>
  </si>
  <si>
    <t>oliviacarmona@magana.net</t>
  </si>
  <si>
    <t>9b5f5828-58aa-4107-b467-e223f64cae41</t>
  </si>
  <si>
    <t>Jeronimo Evelio Serrano Almonte</t>
  </si>
  <si>
    <t>rmireles@hotmail.com</t>
  </si>
  <si>
    <t>5adc0581-cda3-450e-9af3-c3c10c954910</t>
  </si>
  <si>
    <t>Isabel Quiroz</t>
  </si>
  <si>
    <t>riverocynthia@laboratorios.org</t>
  </si>
  <si>
    <t>9ed12598-d607-406c-a92d-66e498a65727</t>
  </si>
  <si>
    <t>Margarita Guadalupe Ceja</t>
  </si>
  <si>
    <t>pvaca@padilla-calderon.com</t>
  </si>
  <si>
    <t>077fd234-6153-410d-a149-184f01f2e37a</t>
  </si>
  <si>
    <t>Diego Benito Ramos Galvan</t>
  </si>
  <si>
    <t>pilarpena@gmail.com</t>
  </si>
  <si>
    <t>557a8a9d-fb81-41f2-9c1e-7c5651463eae</t>
  </si>
  <si>
    <t>Tomas Cabrera Tijerina</t>
  </si>
  <si>
    <t>rene11@carrillo.com</t>
  </si>
  <si>
    <t>5548f892-9c81-4567-87e7-399e543e91d9</t>
  </si>
  <si>
    <t>Ana María Palacios Cardenas</t>
  </si>
  <si>
    <t>brunoferrer@hotmail.com</t>
  </si>
  <si>
    <t>147138ab-2800-4faa-9770-b5aac577f7f3</t>
  </si>
  <si>
    <t>Delia Jacinto Quintanilla Olvera</t>
  </si>
  <si>
    <t>jorge11@yahoo.com</t>
  </si>
  <si>
    <t>4f7b91d2-aac8-4620-9241-12ffa5035fae</t>
  </si>
  <si>
    <t>Olga Frías Paz</t>
  </si>
  <si>
    <t>maytezamudio@hotmail.com</t>
  </si>
  <si>
    <t>e4cf76ae-abd2-47d4-a0b7-6238612481ae</t>
  </si>
  <si>
    <t>Guadalupe Marisol Negron Cazares</t>
  </si>
  <si>
    <t>jacinto56@laboratorios.biz</t>
  </si>
  <si>
    <t>76bda0d9-e9f9-4356-9c98-ac7e6cc773af</t>
  </si>
  <si>
    <t>Mariana Guerrero Arreola</t>
  </si>
  <si>
    <t>catalina70@gmail.com</t>
  </si>
  <si>
    <t>08b75205-ce56-4b95-a64f-9819304e40e0</t>
  </si>
  <si>
    <t>Eric Montañez Velazquez</t>
  </si>
  <si>
    <t>eugeniobravo@gmail.com</t>
  </si>
  <si>
    <t>be84e0fe-9e4b-46e0-be04-6f0f71667755</t>
  </si>
  <si>
    <t>Carolina Caban Urías</t>
  </si>
  <si>
    <t>bruno96@hotmail.com</t>
  </si>
  <si>
    <t>6df2b0ce-9ac0-4cf2-946a-557bf24c972f</t>
  </si>
  <si>
    <t>Timoteo Abelardo Urías Niño</t>
  </si>
  <si>
    <t>bfajardo@gmail.com</t>
  </si>
  <si>
    <t>279ccf00-0de5-4813-a6ed-58a52bc1a5ad</t>
  </si>
  <si>
    <t>Ricardo Eugenio Meza</t>
  </si>
  <si>
    <t>uriasbernabe@perez-saldivar.com</t>
  </si>
  <si>
    <t>8f7b25cf-e88f-4704-9a71-5fe4e6e4d0c9</t>
  </si>
  <si>
    <t>Abril Ríos</t>
  </si>
  <si>
    <t>acevedobruno@gmail.com</t>
  </si>
  <si>
    <t>8429854b-a406-4cf2-9cdd-ed466b843f6e</t>
  </si>
  <si>
    <t>Lic. Andrea Altamirano</t>
  </si>
  <si>
    <t>bustossandra@gmail.com</t>
  </si>
  <si>
    <t>df7faa34-7de9-48f0-8ba1-2897a5b1e8fd</t>
  </si>
  <si>
    <t>Dalia Sosa</t>
  </si>
  <si>
    <t>monteroraul@yahoo.com</t>
  </si>
  <si>
    <t>6b1218cd-9317-4016-8163-c9066aeb1992</t>
  </si>
  <si>
    <t>Abel Toro</t>
  </si>
  <si>
    <t>sramos@hotmail.com</t>
  </si>
  <si>
    <t>a7ec5218-20b5-4ecf-b899-d9c26fa6614c</t>
  </si>
  <si>
    <t>Esther Casares</t>
  </si>
  <si>
    <t>qvilla@gmail.com</t>
  </si>
  <si>
    <t>2a51a5bd-6af1-4306-8be1-f8bb0f7106d3</t>
  </si>
  <si>
    <t>Cristina Anguiano</t>
  </si>
  <si>
    <t>felixramon@gmail.com</t>
  </si>
  <si>
    <t>21534354-fc0b-48d9-9d78-62a4badc1a43</t>
  </si>
  <si>
    <t>Marisol Santana</t>
  </si>
  <si>
    <t>ypichardo@hotmail.com</t>
  </si>
  <si>
    <t>2928f18a-0aa5-4ac6-90e5-f816a534a90a</t>
  </si>
  <si>
    <t>Benjamín Luisa Marrero Frías</t>
  </si>
  <si>
    <t>maria-cristinamatos@hotmail.com</t>
  </si>
  <si>
    <t>111af87c-5fa3-4502-94ae-5ee5b28a52c9</t>
  </si>
  <si>
    <t>Mariano Corrales Orosco</t>
  </si>
  <si>
    <t>jorge49@gmail.com</t>
  </si>
  <si>
    <t>22325f75-012a-4872-929d-f3dcad77dde8</t>
  </si>
  <si>
    <t>Anel Marco Antonio Patiño</t>
  </si>
  <si>
    <t>soledad84@yahoo.com</t>
  </si>
  <si>
    <t>8faa345b-0095-4a30-b89a-79a7b53e217a</t>
  </si>
  <si>
    <t>Carlota Julio de Jesús</t>
  </si>
  <si>
    <t>de-la-fuentereina@gmail.com</t>
  </si>
  <si>
    <t>17ce4fbf-b0f5-4e3b-aeb9-956b5c881168</t>
  </si>
  <si>
    <t>Norma Gastélum Estévez</t>
  </si>
  <si>
    <t>qde-la-garza@alejandro.info</t>
  </si>
  <si>
    <t>7ca60689-ffdb-4ad9-b339-4085c13dfc70</t>
  </si>
  <si>
    <t>Gilberto Mascareñas</t>
  </si>
  <si>
    <t>toledojacobo@olivo.biz</t>
  </si>
  <si>
    <t>54fb7e8c-ef1d-4daf-815b-e5c1e7948ed3</t>
  </si>
  <si>
    <t>Concepcion Elias Alonso Garrido</t>
  </si>
  <si>
    <t>jose-luisanaya@olivo-villa.com</t>
  </si>
  <si>
    <t>51261e24-fd4f-491f-82aa-f60c2d85e228</t>
  </si>
  <si>
    <t>Cynthia Rolon</t>
  </si>
  <si>
    <t>emiliaesparza@santacruz.org</t>
  </si>
  <si>
    <t>dd4ae052-c48d-46dc-a438-fad5a215831b</t>
  </si>
  <si>
    <t>Emiliano Ofelia Luevano</t>
  </si>
  <si>
    <t>almonteadriana@chapa-grijalva.biz</t>
  </si>
  <si>
    <t>627df819-fafe-490b-ae7e-587db323ca23</t>
  </si>
  <si>
    <t>Alejandra Marco Antonio Salas Contreras</t>
  </si>
  <si>
    <t>abelurrutia@grupo.com</t>
  </si>
  <si>
    <t>200bbda1-4911-48eb-b2f0-a013eecdf376</t>
  </si>
  <si>
    <t>Dr. Salma de Anda</t>
  </si>
  <si>
    <t>amayajavier@gmail.com</t>
  </si>
  <si>
    <t>68c5e3c1-7b1b-43a7-acde-3a8ad2cd8bac</t>
  </si>
  <si>
    <t>Dr. Pascual Bravo</t>
  </si>
  <si>
    <t>jacoboalcantar@bahena.info</t>
  </si>
  <si>
    <t>c04d55c7-13f0-4d59-820e-72c4f05b3e9a</t>
  </si>
  <si>
    <t>Estefanía Ruiz</t>
  </si>
  <si>
    <t>mateocastro@club.com</t>
  </si>
  <si>
    <t>6fbf18c0-1d19-4cf9-b5cc-83d5970b7678</t>
  </si>
  <si>
    <t>Dr. Rosa Serrano</t>
  </si>
  <si>
    <t>agustin99@hotmail.com</t>
  </si>
  <si>
    <t>01033810-39b1-401b-94e8-71a15ff61d49</t>
  </si>
  <si>
    <t>Dr. Cristobal Villa</t>
  </si>
  <si>
    <t>linda75@hotmail.com</t>
  </si>
  <si>
    <t>27c73c7b-510b-4161-81d3-83559a1ad5b1</t>
  </si>
  <si>
    <t>Federico Guillermina Vargas</t>
  </si>
  <si>
    <t>bernardo49@gmail.com</t>
  </si>
  <si>
    <t>7ba0efb4-239e-4695-a171-7e53a2d5321c</t>
  </si>
  <si>
    <t>Dr. Abel Salcedo</t>
  </si>
  <si>
    <t>marisoltijerina@gmail.com</t>
  </si>
  <si>
    <t>38bac1f5-8a77-4803-a105-2adcca972ed6</t>
  </si>
  <si>
    <t>Ernesto Cavazos</t>
  </si>
  <si>
    <t>eloisaaragon@candelaria.org</t>
  </si>
  <si>
    <t>1c737d8d-798a-48ec-948e-46c132c3393f</t>
  </si>
  <si>
    <t>Emilia Federico Altamirano</t>
  </si>
  <si>
    <t>laboyleonor@yahoo.com</t>
  </si>
  <si>
    <t>fa3bf710-eb5a-4873-893c-d6a73dc7c4f9</t>
  </si>
  <si>
    <t>Mtro. Alfredo de la Fuente</t>
  </si>
  <si>
    <t>dblanco@club.com</t>
  </si>
  <si>
    <t>93eed3fe-4660-4b73-ac92-7b7bf72ad00f</t>
  </si>
  <si>
    <t>Helena Salvador Alba</t>
  </si>
  <si>
    <t>indira82@miramontes-menendez.biz</t>
  </si>
  <si>
    <t>ff3bf349-be3d-4ed5-a05d-026306680047</t>
  </si>
  <si>
    <t>Alonso Ignacio Hidalgo Montes</t>
  </si>
  <si>
    <t>emiliano86@gmail.com</t>
  </si>
  <si>
    <t>50ca8d12-6f3b-4d72-852c-ddb04e41ecb0</t>
  </si>
  <si>
    <t>Espartaco Esperanza Armenta Gaitan</t>
  </si>
  <si>
    <t>escobedoilse@proyectos.biz</t>
  </si>
  <si>
    <t>3ee7965a-242b-453a-bf95-82e9c7bb26d1</t>
  </si>
  <si>
    <t>Ivonne Georgina Arenas</t>
  </si>
  <si>
    <t>vmadrigal@bravo.com</t>
  </si>
  <si>
    <t>60fe9134-df81-46f3-ad0a-16da706fecac</t>
  </si>
  <si>
    <t>Mayte Muro</t>
  </si>
  <si>
    <t>florencia21@hotmail.com</t>
  </si>
  <si>
    <t>69e33745-af53-42a9-8a08-ab9b741268f8</t>
  </si>
  <si>
    <t>Amelia Baca</t>
  </si>
  <si>
    <t>seguralinda@gmail.com</t>
  </si>
  <si>
    <t>54181b0d-ea89-4121-a212-605c632d4222</t>
  </si>
  <si>
    <t>Irene Saldivar</t>
  </si>
  <si>
    <t>isabel20@macias.org</t>
  </si>
  <si>
    <t>df7beeeb-1466-45c0-b687-7861cff4c459</t>
  </si>
  <si>
    <t>Ángel Davila</t>
  </si>
  <si>
    <t>lomelivictoria@alvarez-olivo.org</t>
  </si>
  <si>
    <t>4466335e-c645-4d4b-a152-4044038bf97c</t>
  </si>
  <si>
    <t>Ing. Amanda Prado</t>
  </si>
  <si>
    <t>ursulaespinoza@de.info</t>
  </si>
  <si>
    <t>a60e107a-d3cc-46c7-9a8e-b0aa9cfa7817</t>
  </si>
  <si>
    <t>Berta Tania Méndez Lebron</t>
  </si>
  <si>
    <t>clozada@vela.biz</t>
  </si>
  <si>
    <t>569d9a75-753b-41b8-9540-1368ec0acbe5</t>
  </si>
  <si>
    <t>Guillermo Diana Curiel Verdugo</t>
  </si>
  <si>
    <t>sara48@gmail.com</t>
  </si>
  <si>
    <t>f76306ca-536d-4c20-8a36-77c9fc49afc0</t>
  </si>
  <si>
    <t>Hilda Vergara Tirado</t>
  </si>
  <si>
    <t>martin48@farias-huerta.com</t>
  </si>
  <si>
    <t>d8b5d3e5-0632-4dbf-9b3c-2094a15de8e8</t>
  </si>
  <si>
    <t>Camilo Eric Medina</t>
  </si>
  <si>
    <t>bernaberenteria@hotmail.com</t>
  </si>
  <si>
    <t>89fcd453-c6b3-469a-96fa-b54ec64f874f</t>
  </si>
  <si>
    <t>Emilio Campos Grijalva</t>
  </si>
  <si>
    <t>ojaimes@yahoo.com</t>
  </si>
  <si>
    <t>4c0c62c7-01f1-4c1a-be44-12a93c7d2e39</t>
  </si>
  <si>
    <t>Monica Cristal Chacon Candelaria</t>
  </si>
  <si>
    <t>sierravictoria@yahoo.com</t>
  </si>
  <si>
    <t>838f9377-c59f-4f9a-a769-8126696776e4</t>
  </si>
  <si>
    <t>Emiliano Violeta Anguiano Paz</t>
  </si>
  <si>
    <t>verdugooswaldo@industrias.org</t>
  </si>
  <si>
    <t>0c6b7809-83fa-4fe8-ae0d-766b000834e5</t>
  </si>
  <si>
    <t>Oswaldo Trujillo Torrez</t>
  </si>
  <si>
    <t>bravodiego@zayas.info</t>
  </si>
  <si>
    <t>873e756f-1f4a-4de6-90ff-4cb697b1e8fe</t>
  </si>
  <si>
    <t>Nadia Pérez Medina</t>
  </si>
  <si>
    <t>eduardo52@grupo.info</t>
  </si>
  <si>
    <t>a5740e45-38d1-421a-8d38-8a6d427463c6</t>
  </si>
  <si>
    <t>José Luis Ana María Robledo Cortés</t>
  </si>
  <si>
    <t>liliana23@despacho.com</t>
  </si>
  <si>
    <t>055f940c-62c7-485e-a8a9-6e6970c4bd9d</t>
  </si>
  <si>
    <t>Ing. Bruno Miranda</t>
  </si>
  <si>
    <t>villarealana-luisa@aviles.org</t>
  </si>
  <si>
    <t>2a34b394-3a83-4acf-a98b-738080cc0de3</t>
  </si>
  <si>
    <t>Barbara Urrutia Palacios</t>
  </si>
  <si>
    <t>peresguadalupe@laboratorios.info</t>
  </si>
  <si>
    <t>b138908b-b0cd-458c-9da0-707f94b0ffcd</t>
  </si>
  <si>
    <t>Ivan Amaya</t>
  </si>
  <si>
    <t>leticiajurado@yahoo.com</t>
  </si>
  <si>
    <t>f055f3a8-2041-4c8b-a2df-fc620ea22103</t>
  </si>
  <si>
    <t>Alma Leonel Morales Anguiano</t>
  </si>
  <si>
    <t>de-la-cruzisabel@grupo.com</t>
  </si>
  <si>
    <t>3f395849-b4c1-4e2b-9b2f-e88f10b94e05</t>
  </si>
  <si>
    <t>David José Luis Espinosa Alonso</t>
  </si>
  <si>
    <t>karlavillegas@urias.com</t>
  </si>
  <si>
    <t>fdba0744-ad19-42dc-a09e-8fc306cf7732</t>
  </si>
  <si>
    <t>Alonso Gutiérrez Gonzales</t>
  </si>
  <si>
    <t>vdavila@gmail.com</t>
  </si>
  <si>
    <t>8ea7037d-ea94-41a9-96b7-83c29d8264c3</t>
  </si>
  <si>
    <t>Lic. Luz de la Garza</t>
  </si>
  <si>
    <t>esparta94@gmail.com</t>
  </si>
  <si>
    <t>b76b9aa0-31e3-4e6d-905f-d7fc227d629a</t>
  </si>
  <si>
    <t>Alonso Paola Rocha</t>
  </si>
  <si>
    <t>ujasso@olivares.com</t>
  </si>
  <si>
    <t>8588db90-3e5f-471e-8500-c89cbc6d1623</t>
  </si>
  <si>
    <t>Andrea Almaraz Barajas</t>
  </si>
  <si>
    <t>feliperolon@hotmail.com</t>
  </si>
  <si>
    <t>2f83c135-17e5-4888-8b31-f505c0170e5e</t>
  </si>
  <si>
    <t>Natalia Carmen Madrid</t>
  </si>
  <si>
    <t>jaimerenteria@despacho.com</t>
  </si>
  <si>
    <t>30697ee3-c6f1-4277-b269-c3c951095f84</t>
  </si>
  <si>
    <t xml:space="preserve">Auriculares-Con cable-32GB </t>
  </si>
  <si>
    <t>Bruno Hernan Rivero</t>
  </si>
  <si>
    <t>noemirivera@hotmail.com</t>
  </si>
  <si>
    <t>8018872a-4ec4-4b51-8563-8d9d85f09396</t>
  </si>
  <si>
    <t>Sessa Blanco</t>
  </si>
  <si>
    <t>navarretenelly@yahoo.com</t>
  </si>
  <si>
    <t>b5b62540-d5f3-4cd3-bdd3-48312389c2db</t>
  </si>
  <si>
    <t>Mtro. Alberto Calvillo</t>
  </si>
  <si>
    <t>carvajalesmeralda@gmail.com</t>
  </si>
  <si>
    <t>ac1d0457-8737-4d32-adc3-08dc6711b75b</t>
  </si>
  <si>
    <t>Patricio Abigail Meza</t>
  </si>
  <si>
    <t>ocasiofrancisco-javier@yahoo.com</t>
  </si>
  <si>
    <t>8a373805-0041-447e-8540-70bded3c26c5</t>
  </si>
  <si>
    <t>María Renato Ochoa Aguilera</t>
  </si>
  <si>
    <t>pde-jesus@yahoo.com</t>
  </si>
  <si>
    <t>aeae3ab8-cc1b-48bb-8dc8-c1ece4d21277</t>
  </si>
  <si>
    <t>María Gonzalez</t>
  </si>
  <si>
    <t>zoeguevara@hotmail.com</t>
  </si>
  <si>
    <t>3820b6cc-8345-41e5-85aa-bd7f843a64c7</t>
  </si>
  <si>
    <t>Dalia Cornelio Treviño de la O</t>
  </si>
  <si>
    <t>rvillanueva@gmail.com</t>
  </si>
  <si>
    <t>86e77ae0-7bda-40b1-a21d-bd010a7db5de</t>
  </si>
  <si>
    <t>Soledad Yeni Gonzales</t>
  </si>
  <si>
    <t>marco-antonioverduzco@yahoo.com</t>
  </si>
  <si>
    <t>27424277-2200-4cc7-a0af-4c423a089f4b</t>
  </si>
  <si>
    <t>Benito Montañez</t>
  </si>
  <si>
    <t>etoledo@gmail.com</t>
  </si>
  <si>
    <t>32755cad-98f9-4eda-8888-7def2a0dd965</t>
  </si>
  <si>
    <t>Abril Rolando Cardona</t>
  </si>
  <si>
    <t>estefania56@marrero.com</t>
  </si>
  <si>
    <t>1e7c8a1d-abaf-4fac-be1b-22c8312a6026</t>
  </si>
  <si>
    <t>Paola Leyva Maestas</t>
  </si>
  <si>
    <t>reynaldogaribay@hotmail.com</t>
  </si>
  <si>
    <t>dafa21d9-a2ea-4867-b143-31f8243c024c</t>
  </si>
  <si>
    <t>Diana Garza Alfaro</t>
  </si>
  <si>
    <t>igalvez@teran-pizarro.net</t>
  </si>
  <si>
    <t>fd7d838f-61fb-4072-8a90-c3d1b393f61b</t>
  </si>
  <si>
    <t>Silvano Alvaro Enríquez Pineda</t>
  </si>
  <si>
    <t>gonzalocarrero@proyectos.com</t>
  </si>
  <si>
    <t>9643a7f2-7f1e-4f3a-b67a-e4db4ac513f7</t>
  </si>
  <si>
    <t>Trinidad Holguín Bustamante</t>
  </si>
  <si>
    <t>uarroyo@manzanares.biz</t>
  </si>
  <si>
    <t>009ae06d-cf99-467d-9ca4-a01697f72e27</t>
  </si>
  <si>
    <t>Carmen Elvira Medina</t>
  </si>
  <si>
    <t>esparta21@yahoo.com</t>
  </si>
  <si>
    <t>922204f6-79f1-49ba-ab4c-25b2f7427397</t>
  </si>
  <si>
    <t>Karla Amelia Garrido Zedillo</t>
  </si>
  <si>
    <t>abril49@yahoo.com</t>
  </si>
  <si>
    <t>5d45490d-e212-40da-9db3-7fe81d466e5d</t>
  </si>
  <si>
    <t>Victoria Galvan</t>
  </si>
  <si>
    <t>cornejocornelio@despacho.org</t>
  </si>
  <si>
    <t>c95e92f7-8dde-45fb-8837-d183a4786431</t>
  </si>
  <si>
    <t>Sr(a). Juana Rangel</t>
  </si>
  <si>
    <t>salvador03@gmail.com</t>
  </si>
  <si>
    <t>165472a7-d6ca-4fd8-9f05-0a98ddac11f5</t>
  </si>
  <si>
    <t>Conchita Barrientos Olvera</t>
  </si>
  <si>
    <t>elvira67@grijalva.com</t>
  </si>
  <si>
    <t>03e2d336-f9ca-4b38-a731-4fc42de09dfd</t>
  </si>
  <si>
    <t>Mtro. Débora Escamilla</t>
  </si>
  <si>
    <t>malaveluz@yahoo.com</t>
  </si>
  <si>
    <t>1e54c09b-4c64-4a56-be8d-61e1318d7de9</t>
  </si>
  <si>
    <t>Blanca Galarza</t>
  </si>
  <si>
    <t>del-vallenatividad@zuniga-carrasco.com</t>
  </si>
  <si>
    <t>67b79c05-b522-4593-8812-0d7f9fe8aead</t>
  </si>
  <si>
    <t>Dr. Isabela Amador</t>
  </si>
  <si>
    <t>maria-teresa56@valle.com</t>
  </si>
  <si>
    <t>2a1cc810-f23f-44be-ad5d-2c2061de3b67</t>
  </si>
  <si>
    <t>Ivan Fuentes Fierro</t>
  </si>
  <si>
    <t>indiraarroyo@gmail.com</t>
  </si>
  <si>
    <t>94019fc0-5f8a-4f46-b07d-b18f9ed2fb2d</t>
  </si>
  <si>
    <t>Omar Nelly Gamboa</t>
  </si>
  <si>
    <t>vcervantez@matos-villagomez.biz</t>
  </si>
  <si>
    <t>acec8856-d263-466f-b05c-84bd5b847fc1</t>
  </si>
  <si>
    <t>Eloy Jaime Mercado Roldan</t>
  </si>
  <si>
    <t>jose-manuel14@madera-arenas.com</t>
  </si>
  <si>
    <t>54483220-8340-4be3-b6c6-51347b1f367c</t>
  </si>
  <si>
    <t>Gregorio Cristal Amaya Zelaya</t>
  </si>
  <si>
    <t>oliviamaestas@club.biz</t>
  </si>
  <si>
    <t>f4ecf59b-ae01-485b-a05f-b80aa788d151</t>
  </si>
  <si>
    <t>José Carlos Rojo Paez</t>
  </si>
  <si>
    <t>beatriz73@yahoo.com</t>
  </si>
  <si>
    <t>6f429ee1-fdee-4a46-88b6-217e010bf7ca</t>
  </si>
  <si>
    <t>Nayeli Abrego</t>
  </si>
  <si>
    <t>julio55@yahoo.com</t>
  </si>
  <si>
    <t>f6a4c26a-3865-4f58-99c7-07d8e2ca6da0</t>
  </si>
  <si>
    <t>Asuncion Rebeca Rivero</t>
  </si>
  <si>
    <t>rosalia18@gmail.com</t>
  </si>
  <si>
    <t>dba5fcd9-c9cd-46ba-a785-12d580ffe57a</t>
  </si>
  <si>
    <t>Sr(a). Armando Carreon</t>
  </si>
  <si>
    <t>del-vallejorge@paz.biz</t>
  </si>
  <si>
    <t>018fc11e-35bf-41a6-9c2e-0fe1cb9dcb9b</t>
  </si>
  <si>
    <t>Inés Griego Lemus</t>
  </si>
  <si>
    <t>de-andavicente@robles.com</t>
  </si>
  <si>
    <t>14ad0f9b-ea8e-437c-b3d9-d3b4ddd90518</t>
  </si>
  <si>
    <t>Santiago Perla Carrero</t>
  </si>
  <si>
    <t>maderaoliver@yahoo.com</t>
  </si>
  <si>
    <t>6a2ef805-75fa-4c53-b30f-57c35a82c2a4</t>
  </si>
  <si>
    <t>Benjamín Octavio Gaona</t>
  </si>
  <si>
    <t>armando09@gmail.com</t>
  </si>
  <si>
    <t>b4335591-8cf2-4447-be7b-0390e7645fec</t>
  </si>
  <si>
    <t>Dr. Lucas Barela</t>
  </si>
  <si>
    <t>antoniabarela@despacho.net</t>
  </si>
  <si>
    <t>f0651ccf-cec5-4eb0-881b-198e786e21cc</t>
  </si>
  <si>
    <t>Dr. Adela Alcala</t>
  </si>
  <si>
    <t>ymayorga@gmail.com</t>
  </si>
  <si>
    <t>b402f6a3-5340-4177-a05b-5f6189a1ccf6</t>
  </si>
  <si>
    <t>Magdalena Carlota Pérez</t>
  </si>
  <si>
    <t>wulloa@industrias.com</t>
  </si>
  <si>
    <t>76479ec1-d623-4c0b-afe8-94ed5d2b1841</t>
  </si>
  <si>
    <t>Silvano Villanueva Alcaraz</t>
  </si>
  <si>
    <t>nunezmanuel@yahoo.com</t>
  </si>
  <si>
    <t>da98ee54-efa1-4a37-a44f-16e69c8a3769</t>
  </si>
  <si>
    <t>Blanca Gabriela Arenas</t>
  </si>
  <si>
    <t>ltapia@hotmail.com</t>
  </si>
  <si>
    <t>53cd2e8b-92e5-4411-a0ca-9f936ff0be49</t>
  </si>
  <si>
    <t>Natividad Fernando Gastélum</t>
  </si>
  <si>
    <t>ibarraza@hotmail.com</t>
  </si>
  <si>
    <t>30a44076-ebcc-4c8b-8064-9e1a18718512</t>
  </si>
  <si>
    <t xml:space="preserve">Laptop-Gaming-4GB </t>
  </si>
  <si>
    <t>Víctor Anguiano</t>
  </si>
  <si>
    <t>felipede-la-rosa@arredondo-hinojosa.net</t>
  </si>
  <si>
    <t>74e91e22-a440-4514-996c-da314a1c94c0</t>
  </si>
  <si>
    <t>Ofelia Francisco Javier Rojas</t>
  </si>
  <si>
    <t>reinasegovia@hotmail.com</t>
  </si>
  <si>
    <t>915c486d-4ef1-4e6b-953c-b179a8d2ba80</t>
  </si>
  <si>
    <t>Ing. Marcela Linares</t>
  </si>
  <si>
    <t>noriegasara@uribe.com</t>
  </si>
  <si>
    <t>294b26f6-bf81-4c20-9d69-4b0d99e6fdc0</t>
  </si>
  <si>
    <t>Lic. Cristobal Ortega</t>
  </si>
  <si>
    <t>halfaro@despacho.com</t>
  </si>
  <si>
    <t>b73ffa14-dae4-45da-b61f-6c3f7f80a89e</t>
  </si>
  <si>
    <t>Fidel Mateo Parra Ulloa</t>
  </si>
  <si>
    <t>cardonapascual@industrias.info</t>
  </si>
  <si>
    <t>348f55a1-ec49-4749-b0f2-d28f1d6587c1</t>
  </si>
  <si>
    <t>Ing. Esteban Curiel</t>
  </si>
  <si>
    <t>juliavergara@barraza.info</t>
  </si>
  <si>
    <t>6d6dc8da-1c46-48a9-9864-d6731b144bc7</t>
  </si>
  <si>
    <t>Gabino Barrera Quiroz</t>
  </si>
  <si>
    <t>razoraul@yahoo.com</t>
  </si>
  <si>
    <t>02858336-ce07-4437-8326-04e65dd55fe4</t>
  </si>
  <si>
    <t>Ing. Georgina Preciado</t>
  </si>
  <si>
    <t>jmacias@salazar.com</t>
  </si>
  <si>
    <t>fa63cc57-bb9c-4785-aff8-0c7c326b44bd</t>
  </si>
  <si>
    <t>José Eduardo Conchita Barrientos Pulido</t>
  </si>
  <si>
    <t>hector75@despacho.org</t>
  </si>
  <si>
    <t>45b7faf6-5799-4708-8c79-9b6b478ccfc3</t>
  </si>
  <si>
    <t>Lucía Irma Zúñiga</t>
  </si>
  <si>
    <t>quirozcristina@hotmail.com</t>
  </si>
  <si>
    <t>03e4dd2e-3e51-4d0d-a880-eb30ad369498</t>
  </si>
  <si>
    <t>Gilberto Mitzy Aguirre Macías</t>
  </si>
  <si>
    <t>adelafierro@resendez.com</t>
  </si>
  <si>
    <t>853315fd-3f57-4c4d-b1c0-63876571d6be</t>
  </si>
  <si>
    <t xml:space="preserve">Tablet-Pro-4GB </t>
  </si>
  <si>
    <t>Ing. Catalina Montenegro</t>
  </si>
  <si>
    <t>socorrocolunga@rosales-caraballo.com</t>
  </si>
  <si>
    <t>0b7c1304-c2c5-4050-9b73-fd7e7c4c1936</t>
  </si>
  <si>
    <t>Alicia Agustín Piña</t>
  </si>
  <si>
    <t>melgarbenjamin@laboratorios.com</t>
  </si>
  <si>
    <t>586df37b-bacf-4952-94e8-20049c50d537</t>
  </si>
  <si>
    <t xml:space="preserve">  Guadalajara</t>
  </si>
  <si>
    <t>Karla Pineda Arriaga</t>
  </si>
  <si>
    <t>acabrera@yahoo.com</t>
  </si>
  <si>
    <t>35bff7d1-834a-47b1-8627-e9ce0847bae9</t>
  </si>
  <si>
    <t>Marco Antonio Mercado Henríquez</t>
  </si>
  <si>
    <t>grobledo@gmail.com</t>
  </si>
  <si>
    <t>6c9a8394-7c0d-49dd-814c-cdca8e78dbd5</t>
  </si>
  <si>
    <t>Sr(a). Jos Venegas</t>
  </si>
  <si>
    <t>qguajardo@gmail.com</t>
  </si>
  <si>
    <t>f6a5ccaa-f8db-4293-9b11-932f3470afdf</t>
  </si>
  <si>
    <t>Ana María Verdugo Pichardo</t>
  </si>
  <si>
    <t>epaez@yahoo.com</t>
  </si>
  <si>
    <t>1cc3a12d-c04b-4839-a053-31d0fce65570</t>
  </si>
  <si>
    <t>Omar Casares Benavídez</t>
  </si>
  <si>
    <t>humberto17@tapia.com</t>
  </si>
  <si>
    <t>be2593fe-882a-47b4-84fb-96d56973714b</t>
  </si>
  <si>
    <t>Mario Fidel Laureano Castro</t>
  </si>
  <si>
    <t>amadorgarza@yahoo.com</t>
  </si>
  <si>
    <t>e00df3f6-aa51-4a6d-bf1d-36462af123a2</t>
  </si>
  <si>
    <t>Hilda Razo Lerma</t>
  </si>
  <si>
    <t>salvadorsuarez@gmail.com</t>
  </si>
  <si>
    <t>5eb1511c-6bde-49b4-b1e9-39aeeca914bc</t>
  </si>
  <si>
    <t>José Emilio Herrera Sanabria</t>
  </si>
  <si>
    <t>silviafrias@hotmail.com</t>
  </si>
  <si>
    <t>43bdd060-f236-479e-81bb-97be1c5dc7be</t>
  </si>
  <si>
    <t>Marisol Veronica Velasquez</t>
  </si>
  <si>
    <t>lilianaamaya@rangel.com</t>
  </si>
  <si>
    <t>c331b5bf-7dc0-44f3-bbc6-33242970d6bd</t>
  </si>
  <si>
    <t>Sr(a). Alta  Gracia Espino</t>
  </si>
  <si>
    <t>montanoreina@navarrete-botello.net</t>
  </si>
  <si>
    <t>2c43e82b-a86a-44f0-a9c7-359db0ff3d83</t>
  </si>
  <si>
    <t>Laura Baez</t>
  </si>
  <si>
    <t>ivonnearmendariz@club.com</t>
  </si>
  <si>
    <t>7a27100e-236d-45f0-952e-b7c838d737a2</t>
  </si>
  <si>
    <t>Mateo Raúl Sosa Arreola</t>
  </si>
  <si>
    <t>asuncionquintero@hotmail.com</t>
  </si>
  <si>
    <t>25b223d6-04b8-478f-9246-79edbe8738eb</t>
  </si>
  <si>
    <t>Aldo Fonseca</t>
  </si>
  <si>
    <t>dpolanco@industrias.com</t>
  </si>
  <si>
    <t>8ccc7ee3-b4a6-404a-9faf-787343dc06f2</t>
  </si>
  <si>
    <t>Abigail Castillo</t>
  </si>
  <si>
    <t>flavio50@proyectos.com</t>
  </si>
  <si>
    <t>4d39c9a6-3193-454d-9981-2f01cdfb6409</t>
  </si>
  <si>
    <t>Hilda Monica Acuña Zedillo</t>
  </si>
  <si>
    <t>lhidalgo@yahoo.com</t>
  </si>
  <si>
    <t>6d865eac-7ee1-4c9f-bf09-98a0163a585b</t>
  </si>
  <si>
    <t>Mauricio Oquendo Bustos</t>
  </si>
  <si>
    <t>yalba@corporacin.com</t>
  </si>
  <si>
    <t>36d91d20-825b-4909-9326-ca55a5ba261f</t>
  </si>
  <si>
    <t>Hernan Rael</t>
  </si>
  <si>
    <t>omarin@grupo.info</t>
  </si>
  <si>
    <t>ce0567fa-7e48-43a0-a5b7-07aa5cc439d0</t>
  </si>
  <si>
    <t>Esther Duran</t>
  </si>
  <si>
    <t>canalesgraciela@merino.net</t>
  </si>
  <si>
    <t>302bfa8d-a0d2-49bf-ba0e-92515d5d4911</t>
  </si>
  <si>
    <t>Lourdes Reyes Valladares</t>
  </si>
  <si>
    <t>calderontania@hotmail.com</t>
  </si>
  <si>
    <t>32a2277a-2bbc-47d0-9874-fcd6195b5e16</t>
  </si>
  <si>
    <t>Elias Dulce Figueroa</t>
  </si>
  <si>
    <t>ycabrera@yahoo.com</t>
  </si>
  <si>
    <t>261f24e0-0c30-40fa-92d3-3c013d335e1f</t>
  </si>
  <si>
    <t>Cristal Leticia Varela Soliz</t>
  </si>
  <si>
    <t>marisoldiaz@gmail.com</t>
  </si>
  <si>
    <t>bc41d301-8342-4b13-a0a6-0094760ae37b</t>
  </si>
  <si>
    <t>Martín Sara Verduzco</t>
  </si>
  <si>
    <t>susanarodrigez@granado-mora.com</t>
  </si>
  <si>
    <t>b21c5672-3d61-481e-bd82-6e363e042060</t>
  </si>
  <si>
    <t>Rodrigo Yeni Avilés</t>
  </si>
  <si>
    <t>juan-carlos48@del.info</t>
  </si>
  <si>
    <t>fa21bde8-c128-4e66-83c3-a35891b527e7</t>
  </si>
  <si>
    <t>Eugenia Zambrano Casas</t>
  </si>
  <si>
    <t>esteban25@hotmail.com</t>
  </si>
  <si>
    <t>ae03b614-5581-49d6-bb73-db61d22a7b6c</t>
  </si>
  <si>
    <t>Dr. Felix Pizarro</t>
  </si>
  <si>
    <t>elena24@despacho.info</t>
  </si>
  <si>
    <t>eec053a4-5ae1-415f-b30f-845523ab472b</t>
  </si>
  <si>
    <t>Araceli Ulloa Blanco</t>
  </si>
  <si>
    <t>flaviorivera@gmail.com</t>
  </si>
  <si>
    <t>a5a9edd5-c2b3-4542-ac87-c882564547e6</t>
  </si>
  <si>
    <t>Espartaco Arguello Bustamante</t>
  </si>
  <si>
    <t>oscararmas@grupo.com</t>
  </si>
  <si>
    <t>ed2a25dc-7b7a-4810-9252-9fa56521ff40</t>
  </si>
  <si>
    <t>Noelia Leon Sanches</t>
  </si>
  <si>
    <t>fidelvazquez@estrada.info</t>
  </si>
  <si>
    <t>15c297bf-5d8e-4902-b9f9-0205a370b77e</t>
  </si>
  <si>
    <t>Frida Arroyo Zepeda</t>
  </si>
  <si>
    <t>enriquevarela@yahoo.com</t>
  </si>
  <si>
    <t>48fa08f3-3f1d-41d4-98c7-9d364159c3ee</t>
  </si>
  <si>
    <t>Norma Celia Leiva Bañuelos</t>
  </si>
  <si>
    <t>fridalopez@mena.com</t>
  </si>
  <si>
    <t>a487c1e9-95f4-4b1d-b9e1-8ce364aaa62c</t>
  </si>
  <si>
    <t>Timoteo Cynthia Cordero</t>
  </si>
  <si>
    <t>hugocedillo@gmail.com</t>
  </si>
  <si>
    <t>b5d4423c-9255-4859-8feb-44a8655b46a4</t>
  </si>
  <si>
    <t>Dr. Rolando Mares</t>
  </si>
  <si>
    <t>mercadohilda@gmail.com</t>
  </si>
  <si>
    <t>5199a25e-ee56-4e1f-9c71-21f24998e8fc</t>
  </si>
  <si>
    <t>Jorge Luis Baca</t>
  </si>
  <si>
    <t>egalindo@gmail.com</t>
  </si>
  <si>
    <t>2f12cb9e-2010-490d-9bfa-31410ba27433</t>
  </si>
  <si>
    <t>Jacobo Centeno Velazquez</t>
  </si>
  <si>
    <t>ninosilvano@montano-rodriquez.com</t>
  </si>
  <si>
    <t>495441f0-2d83-4d9c-aafc-5c80643ab7b5</t>
  </si>
  <si>
    <t>Octavio Madrid Acevedo</t>
  </si>
  <si>
    <t>jhernadez@yahoo.com</t>
  </si>
  <si>
    <t>32cbf6b2-5cd5-4174-8a02-005124de47a9</t>
  </si>
  <si>
    <t>Eric Bonilla</t>
  </si>
  <si>
    <t>sarabiakarla@gmail.com</t>
  </si>
  <si>
    <t>5c493940-b957-429c-b2c2-6378fa0e9e7b</t>
  </si>
  <si>
    <t>Adan Ana Ornelas Samaniego</t>
  </si>
  <si>
    <t>de-jesusnatividad@santana.com</t>
  </si>
  <si>
    <t>d6516497-6c06-4709-8da9-2fbc709d5c67</t>
  </si>
  <si>
    <t>Serafín Antonio Fonseca</t>
  </si>
  <si>
    <t>karinacarrera@mascarenas.info</t>
  </si>
  <si>
    <t>b6857111-61b8-43f5-8981-c8ec006f2fb9</t>
  </si>
  <si>
    <t>Mitzy Noelia Ramos Menchaca</t>
  </si>
  <si>
    <t>montezmicaela@laboratorios.org</t>
  </si>
  <si>
    <t>1801df3c-96b3-4e4a-be9c-19777e295ccd</t>
  </si>
  <si>
    <t>Clara del Valle</t>
  </si>
  <si>
    <t>carlotacastro@yahoo.com</t>
  </si>
  <si>
    <t>af657191-85e9-4afd-94e6-b34adf3aa8e2</t>
  </si>
  <si>
    <t>Olga Georgina Iglesias</t>
  </si>
  <si>
    <t>jrobledo@proyectos.org</t>
  </si>
  <si>
    <t>d7e693a3-06a8-4900-a649-17ebdc044442</t>
  </si>
  <si>
    <t>Jeronimo Palomino Lozano</t>
  </si>
  <si>
    <t>aguilarespartaco@luevano.com</t>
  </si>
  <si>
    <t>2d00fa46-ed9d-4a83-8d4f-00268740aa20</t>
  </si>
  <si>
    <t>Leonel Salcido</t>
  </si>
  <si>
    <t>carranzamaria-jose@yahoo.com</t>
  </si>
  <si>
    <t>b970ae82-fee0-482e-b413-b42d8439bc7e</t>
  </si>
  <si>
    <t>Margarita Olivas</t>
  </si>
  <si>
    <t>trujillosantiago@club.com</t>
  </si>
  <si>
    <t>82c801f7-86fa-465e-b47e-1a2faca2409f</t>
  </si>
  <si>
    <t>Nicolas Martín Baez</t>
  </si>
  <si>
    <t>alfredosamaniego@grupo.info</t>
  </si>
  <si>
    <t>3be08974-31f2-40c3-afb9-3a240fd500b5</t>
  </si>
  <si>
    <t>Ing. José Benavídez</t>
  </si>
  <si>
    <t>cejamarisol@proyectos.com</t>
  </si>
  <si>
    <t>eb22a1ca-e765-4386-9637-b65cff10da6f</t>
  </si>
  <si>
    <t>Alma Paola Godoy</t>
  </si>
  <si>
    <t>amadorzoe@proyectos.info</t>
  </si>
  <si>
    <t>e9aad92b-b3bc-438a-9893-00066fab9810</t>
  </si>
  <si>
    <t>Íliver Téllez</t>
  </si>
  <si>
    <t>ysaldivar@perales.com</t>
  </si>
  <si>
    <t>92e1c1ff-b495-49b7-a5b5-d0aeb1d04194</t>
  </si>
  <si>
    <t>María Cristina Amelia Rosario Trujillo</t>
  </si>
  <si>
    <t>fjasso@hotmail.com</t>
  </si>
  <si>
    <t>4b28f4e5-d521-4d6e-94a1-2e2d06559b71</t>
  </si>
  <si>
    <t>Indira Orozco Cuellar</t>
  </si>
  <si>
    <t>esthersantacruz@gmail.com</t>
  </si>
  <si>
    <t>a2ab5f05-64d9-4b5f-a606-40a5bd1bb17c</t>
  </si>
  <si>
    <t>Carmen Curiel Samaniego</t>
  </si>
  <si>
    <t>warellano@hotmail.com</t>
  </si>
  <si>
    <t>cb8f4dea-863b-4651-a226-6e0dec00b253</t>
  </si>
  <si>
    <t>Augusto Adan Niño</t>
  </si>
  <si>
    <t>karla73@yahoo.com</t>
  </si>
  <si>
    <t>4f0f1770-3af6-4b65-a5e9-61a996e12a76</t>
  </si>
  <si>
    <t>Abigail Mayorga</t>
  </si>
  <si>
    <t>elviraalva@sandoval.net</t>
  </si>
  <si>
    <t>48f1f9b2-e5c3-45db-9c35-dba3af2b3e37</t>
  </si>
  <si>
    <t>Gilberto Hernan Murillo</t>
  </si>
  <si>
    <t>lgracia@corporacin.com</t>
  </si>
  <si>
    <t>39f5457f-dcd1-4ade-baf5-0b5ac2798271</t>
  </si>
  <si>
    <t>Camila María Teresa Reyna Lucero</t>
  </si>
  <si>
    <t>bde-la-torre@hotmail.com</t>
  </si>
  <si>
    <t>8d5984e4-42c5-40ea-a6b1-0829494656fe</t>
  </si>
  <si>
    <t>Lic. Ana Luisa Montalvo</t>
  </si>
  <si>
    <t>pedrobaeza@caban.com</t>
  </si>
  <si>
    <t>0a48305d-5c9c-4afa-9ee6-8e31efd58718</t>
  </si>
  <si>
    <t>Juan Carlos Teresa Giron Sosa</t>
  </si>
  <si>
    <t>reynaldo69@gmail.com</t>
  </si>
  <si>
    <t>c52c3f64-0bf6-4119-ab4d-0c0c46049424</t>
  </si>
  <si>
    <t>Roberto Mateo Hurtado Leon</t>
  </si>
  <si>
    <t>sperales@hotmail.com</t>
  </si>
  <si>
    <t>0332c3e0-2f25-4dfd-ad14-79f12be80567</t>
  </si>
  <si>
    <t>Isabela Mario Vigil Colunga</t>
  </si>
  <si>
    <t>wde-la-rosa@club.com</t>
  </si>
  <si>
    <t>ddd463db-888b-4ab8-b2a7-396cacbc0f7c</t>
  </si>
  <si>
    <t>Karina Núñez</t>
  </si>
  <si>
    <t>laura43@yahoo.com</t>
  </si>
  <si>
    <t>650656a9-a043-47bc-ae91-0380ba19f6d1</t>
  </si>
  <si>
    <t>Wilfrido Daniela Alonso Gaytan</t>
  </si>
  <si>
    <t>norma09@hotmail.com</t>
  </si>
  <si>
    <t>63edf886-6d4d-489d-a1a2-e321304707b2</t>
  </si>
  <si>
    <t>Mtro. Emilia Rolon</t>
  </si>
  <si>
    <t>alicia10@yahoo.com</t>
  </si>
  <si>
    <t>3773bcf2-e766-445f-90a8-279d0bd1b1ae</t>
  </si>
  <si>
    <t>María Maximiliano Ochoa</t>
  </si>
  <si>
    <t>zramos@bahena-maya.info</t>
  </si>
  <si>
    <t>8f691093-3270-4ace-ae7f-f6404f3e9c97</t>
  </si>
  <si>
    <t>Uriel Montes Contreras</t>
  </si>
  <si>
    <t>fserrano@vela.com</t>
  </si>
  <si>
    <t>ab896c73-e2a6-4dc5-922f-889ab750954e</t>
  </si>
  <si>
    <t>Gerardo Sauceda</t>
  </si>
  <si>
    <t>patinoadan@sanchez.biz</t>
  </si>
  <si>
    <t>e8b495a0-823c-484a-8e06-d1bdd07a0b5f</t>
  </si>
  <si>
    <t>Ernesto Quezada</t>
  </si>
  <si>
    <t>qcastellanos@partida-valles.com</t>
  </si>
  <si>
    <t>89cde298-9d2d-459e-ac2a-33f1db2b8db1</t>
  </si>
  <si>
    <t>Abraham Israel Cortés Gaitan</t>
  </si>
  <si>
    <t>maria-luisacaraballo@garcia-betancourt.com</t>
  </si>
  <si>
    <t>e14300c1-3569-475f-a547-4c787f5cf604</t>
  </si>
  <si>
    <t>Humberto Yeni Ceballos</t>
  </si>
  <si>
    <t>rgomez@gmail.com</t>
  </si>
  <si>
    <t>5532c3c2-1fd2-4b63-a93a-fe0891b55345</t>
  </si>
  <si>
    <t>Eugenio Almonte</t>
  </si>
  <si>
    <t>kescamilla@garza-olivares.com</t>
  </si>
  <si>
    <t>b5bf5404-1040-4584-9e23-bd9aa4a748c4</t>
  </si>
  <si>
    <t>Sr(a). María Navarrete</t>
  </si>
  <si>
    <t>valverdeadalberto@bernal-arellano.com</t>
  </si>
  <si>
    <t>d079bbf1-e637-4020-8ca5-6bb2c45c34f9</t>
  </si>
  <si>
    <t>Raquel Crespo Carrion</t>
  </si>
  <si>
    <t>flaviorosado@yahoo.com</t>
  </si>
  <si>
    <t>7896d226-252e-4fbf-902d-719da7aaaf24</t>
  </si>
  <si>
    <t>Jonas Peña</t>
  </si>
  <si>
    <t>rzavala@yahoo.com</t>
  </si>
  <si>
    <t>71b6157e-f3ed-4bd0-83ed-fc382c96bff0</t>
  </si>
  <si>
    <t>Emilio Almaraz</t>
  </si>
  <si>
    <t>avera@yahoo.com</t>
  </si>
  <si>
    <t>72bb2e02-f0ab-4425-ad19-83e3487dfc79</t>
  </si>
  <si>
    <t>Rafaél Gerardo Serrato</t>
  </si>
  <si>
    <t>ballesterosvioleta@gallardo-jiminez.biz</t>
  </si>
  <si>
    <t>f778848a-1ec7-484b-a619-98ff8730961f</t>
  </si>
  <si>
    <t>Claudia Suarez Galvan</t>
  </si>
  <si>
    <t>nietohilda@yahoo.com</t>
  </si>
  <si>
    <t>008ee7b3-7786-4b09-b979-9ae857581c91</t>
  </si>
  <si>
    <t>Pascual Treviño</t>
  </si>
  <si>
    <t>mariafernandez@gmail.com</t>
  </si>
  <si>
    <t>1de0d9e2-fea5-4f41-858a-b4d39e7e4657</t>
  </si>
  <si>
    <t>Yeni Diego Mateo Irizarry</t>
  </si>
  <si>
    <t>esthervillalobos@covarrubias-montalvo.net</t>
  </si>
  <si>
    <t>5e0eecec-2dab-48b7-a609-0fd963d1d90a</t>
  </si>
  <si>
    <t>Dr. Eugenia Jaquez</t>
  </si>
  <si>
    <t>graya@quintero.com</t>
  </si>
  <si>
    <t>24b8ae05-3a27-4a1d-b704-94fbf52b7e78</t>
  </si>
  <si>
    <t>Jorge Bernardo Ávalos</t>
  </si>
  <si>
    <t>silvano60@velasco.com</t>
  </si>
  <si>
    <t>e13367f1-7d08-4bb3-a252-f1741f4928d8</t>
  </si>
  <si>
    <t>Gabriela Aida Chapa</t>
  </si>
  <si>
    <t>ycolon@gmail.com</t>
  </si>
  <si>
    <t>b343399a-8398-43c0-a157-92dd7a44f5c7</t>
  </si>
  <si>
    <t>Aurora Amador Mendoza Prieto</t>
  </si>
  <si>
    <t>margarita69@grupo.net</t>
  </si>
  <si>
    <t>45698812-aa8b-4fea-b214-81743c8c3e1d</t>
  </si>
  <si>
    <t>Ing. Mitzy de la Rosa</t>
  </si>
  <si>
    <t>larajesus@industrias.com</t>
  </si>
  <si>
    <t>2c42cc7e-a16c-4dc9-ae59-89dbe94c5127</t>
  </si>
  <si>
    <t>German Crespo Leyva</t>
  </si>
  <si>
    <t>pamela15@yahoo.com</t>
  </si>
  <si>
    <t>0514f6bb-c61e-409d-8985-bc35bb86f4af</t>
  </si>
  <si>
    <t>Salma Andrés Montañez</t>
  </si>
  <si>
    <t>anel13@yahoo.com</t>
  </si>
  <si>
    <t>3b41356a-51cc-450b-9098-9b6959c32336</t>
  </si>
  <si>
    <t>Cynthia Oswaldo Olvera</t>
  </si>
  <si>
    <t>carbajaldulce-maria@club.info</t>
  </si>
  <si>
    <t>496f9895-2148-475d-9da8-8846db1a0d2e</t>
  </si>
  <si>
    <t>Amador Íscar Orellana</t>
  </si>
  <si>
    <t>rojohector@gmail.com</t>
  </si>
  <si>
    <t>f10d3d99-9f63-4b93-a89a-94e952ffcf1c</t>
  </si>
  <si>
    <t>Isabela Cortez</t>
  </si>
  <si>
    <t>aalmaraz@yahoo.com</t>
  </si>
  <si>
    <t>18b6e7f0-7f1c-4914-ab72-945d8d766ba6</t>
  </si>
  <si>
    <t>Sr(a). Magdalena Bustamante</t>
  </si>
  <si>
    <t>jose-eduardo38@hotmail.com</t>
  </si>
  <si>
    <t>9fd5d30c-2b67-444a-b0bd-e6ce0c2a3c03</t>
  </si>
  <si>
    <t>Roberto Aleman Duarte</t>
  </si>
  <si>
    <t>gabriela38@gmail.com</t>
  </si>
  <si>
    <t>a9af6b62-1d3a-42df-99e5-230a527f9cf6</t>
  </si>
  <si>
    <t>Mauricio Horacio Marín</t>
  </si>
  <si>
    <t>lopezdiana@gmail.com</t>
  </si>
  <si>
    <t>d3e4b4f5-0e5d-46c7-a6d9-b15a09e90033</t>
  </si>
  <si>
    <t>Porfirio Lorenzo Cordero</t>
  </si>
  <si>
    <t>pugasilvano@gmail.com</t>
  </si>
  <si>
    <t>6b289530-390b-4fbc-a2f2-7adff1dc65eb</t>
  </si>
  <si>
    <t>Raquel Domínguez Vanegas</t>
  </si>
  <si>
    <t>victor71@hotmail.com</t>
  </si>
  <si>
    <t>732de4a4-0325-4391-a400-19ffb39fdec9</t>
  </si>
  <si>
    <t>Paulina Peres Carmona</t>
  </si>
  <si>
    <t>granadobernabe@yahoo.com</t>
  </si>
  <si>
    <t>df271a81-4486-42c3-b66a-88accdba843d</t>
  </si>
  <si>
    <t>Agustín Montemayor Escobedo</t>
  </si>
  <si>
    <t>mojicajudith@sauceda-mendez.com</t>
  </si>
  <si>
    <t>d1dd5a1a-3f08-4909-b8b0-04384056d29b</t>
  </si>
  <si>
    <t>Patricio Citlali Rico Jurado</t>
  </si>
  <si>
    <t>pvalencia@marin.com</t>
  </si>
  <si>
    <t>55359418-5f6c-4f2b-9e70-525bf3b5c143</t>
  </si>
  <si>
    <t>Blanca Juan Carlos Sisneros</t>
  </si>
  <si>
    <t>ariadna06@espino.org</t>
  </si>
  <si>
    <t>1a8c7e9d-606f-43dc-9e8a-38707414cb60</t>
  </si>
  <si>
    <t>Sr(a). Monica Montañez</t>
  </si>
  <si>
    <t>znegron@hotmail.com</t>
  </si>
  <si>
    <t>b132b519-abc7-45bf-afcb-a51cf812697a</t>
  </si>
  <si>
    <t>Ing. Nayeli del Valle</t>
  </si>
  <si>
    <t>esquibellucas@gmail.com</t>
  </si>
  <si>
    <t>e4d04092-1822-4155-841a-4386e1c16529</t>
  </si>
  <si>
    <t>Carlota Helena Cepeda</t>
  </si>
  <si>
    <t>bermudezleonor@reynoso.net</t>
  </si>
  <si>
    <t>6c36c1bb-60d5-43fc-9b1f-840f4136899c</t>
  </si>
  <si>
    <t>Lic. Hugo Polanco</t>
  </si>
  <si>
    <t>aldoescamilla@grupo.com</t>
  </si>
  <si>
    <t>570e94ce-b053-46a5-8a1e-1a663553c880</t>
  </si>
  <si>
    <t>Lic. Ricardo Coronado</t>
  </si>
  <si>
    <t>opaz@proyectos.net</t>
  </si>
  <si>
    <t>84862dcd-d58c-423c-99b1-8b1ee8b38e4e</t>
  </si>
  <si>
    <t>Israel Amaya</t>
  </si>
  <si>
    <t>oliverrenteria@rael-medrano.org</t>
  </si>
  <si>
    <t>73c9e2ed-d0e0-4b5c-92ac-e3a55014e974</t>
  </si>
  <si>
    <t>Paola Zarate</t>
  </si>
  <si>
    <t>marisolamador@gmail.com</t>
  </si>
  <si>
    <t>22971ca8-f21c-436b-84f8-11a2a2c20ff6</t>
  </si>
  <si>
    <t>Hugo Orellana Aguilera</t>
  </si>
  <si>
    <t>luztejeda@carrion.biz</t>
  </si>
  <si>
    <t>e2689eed-d7a5-4b39-a1e0-7b6894376ce5</t>
  </si>
  <si>
    <t>Claudio Anguiano Suarez</t>
  </si>
  <si>
    <t>cintronmanuel@gmail.com</t>
  </si>
  <si>
    <t>f8f7bac5-22e3-4fcd-8c93-90375d23c11b</t>
  </si>
  <si>
    <t>Caridad Frida Villarreal</t>
  </si>
  <si>
    <t>homero86@segura.com</t>
  </si>
  <si>
    <t>41673c52-8873-43f3-b016-36a8c4e22ead</t>
  </si>
  <si>
    <t>Mariano Cruz</t>
  </si>
  <si>
    <t>velasquezandres@laboratorios.com</t>
  </si>
  <si>
    <t>d28fd44c-05cd-4575-a1d4-081b8663b676</t>
  </si>
  <si>
    <t>Nelly Vaca Santana</t>
  </si>
  <si>
    <t>lermaespartaco@yahoo.com</t>
  </si>
  <si>
    <t>38689b3f-5f78-4f2d-8f10-c3c9cd750a01</t>
  </si>
  <si>
    <t>Luisa Eugenio Vasquez Aleman</t>
  </si>
  <si>
    <t>xcamacho@gmail.com</t>
  </si>
  <si>
    <t>c1fae86b-bd50-4387-a36c-f6dd0feee517</t>
  </si>
  <si>
    <t>Leonel Noelia Solís</t>
  </si>
  <si>
    <t>fviera@farias.info</t>
  </si>
  <si>
    <t>342d4b10-ea36-4f9d-a345-cbb571e1445f</t>
  </si>
  <si>
    <t>Pascual Gracia Robles</t>
  </si>
  <si>
    <t>teodorogarrido@barragan.biz</t>
  </si>
  <si>
    <t>1b8b26e6-8632-4b38-8f73-c6f0e70ccf60</t>
  </si>
  <si>
    <t>Lorenzo Rafaél Morales Valles</t>
  </si>
  <si>
    <t>zoe02@yahoo.com</t>
  </si>
  <si>
    <t>346d7c42-eb45-461e-a667-5669781129fb</t>
  </si>
  <si>
    <t>Adan Prado</t>
  </si>
  <si>
    <t>mesaursula@barragan-chapa.com</t>
  </si>
  <si>
    <t>2613eb8c-73dd-4b40-8ff0-7cf4fa29b165</t>
  </si>
  <si>
    <t>Caridad Ojeda</t>
  </si>
  <si>
    <t>xlozano@godoy.com</t>
  </si>
  <si>
    <t>636e2a36-d8c0-4ac8-b15e-52b5f9b2507b</t>
  </si>
  <si>
    <t>Elsa Alonso Almanza</t>
  </si>
  <si>
    <t>felix81@madrid-samaniego.com</t>
  </si>
  <si>
    <t>d7b9f594-a51e-4402-948d-437dc2679714</t>
  </si>
  <si>
    <t>Julia Baeza</t>
  </si>
  <si>
    <t>leticiaduarte@yahoo.com</t>
  </si>
  <si>
    <t>09c37b10-c227-4f88-9c6a-eb146d381382</t>
  </si>
  <si>
    <t>Linda Tomas Cuellar</t>
  </si>
  <si>
    <t>guerrahernan@hotmail.com</t>
  </si>
  <si>
    <t>4181125d-2bd6-43ef-b4f7-d88b503ebcc9</t>
  </si>
  <si>
    <t>Lic. Vanesa Enríquez</t>
  </si>
  <si>
    <t>kponce@yahoo.com</t>
  </si>
  <si>
    <t>c039c16a-b7e7-4616-8b5d-dbc120a30d24</t>
  </si>
  <si>
    <t>Mario Gilberto Torrez</t>
  </si>
  <si>
    <t>zeferinomadera@ramos.org</t>
  </si>
  <si>
    <t>bea55d48-ca8e-4a5e-81da-22d3ae44e9a0</t>
  </si>
  <si>
    <t>Clara Echeverría</t>
  </si>
  <si>
    <t>jluevano@grupo.org</t>
  </si>
  <si>
    <t>d6c6c3cb-6cf5-40a9-b8d5-65640f8dab1c</t>
  </si>
  <si>
    <t>Lorena Jacinto Limon</t>
  </si>
  <si>
    <t>rtejeda@pelayo.net</t>
  </si>
  <si>
    <t>60d79197-fd4c-4a31-a577-d7d861b32c67</t>
  </si>
  <si>
    <t>Asuncion Maximiliano Baca Ramírez</t>
  </si>
  <si>
    <t>amayalucas@roque.biz</t>
  </si>
  <si>
    <t>6962b6a9-7e9b-4fc9-80fb-8d56c5243ad2</t>
  </si>
  <si>
    <t>Evelio Pilar Urbina</t>
  </si>
  <si>
    <t>cgallegos@vaca-bahena.net</t>
  </si>
  <si>
    <t>1f4ac01b-7a1a-4d64-ae6d-a13b0dd45606</t>
  </si>
  <si>
    <t>Aida Marrero</t>
  </si>
  <si>
    <t>juana18@yahoo.com</t>
  </si>
  <si>
    <t>84603ef1-6930-4a3e-b3f4-2e56b1a84398</t>
  </si>
  <si>
    <t>Benjamín Alejandra Zapata Zamudio</t>
  </si>
  <si>
    <t>bgranado@mata.biz</t>
  </si>
  <si>
    <t>d5d39d13-0c4d-4695-9fb3-6fbc66298a78</t>
  </si>
  <si>
    <t>Cristina Valentín Castillo</t>
  </si>
  <si>
    <t>npedraza@hotmail.com</t>
  </si>
  <si>
    <t>784aa491-3eb3-4b5e-858a-3b24918b10a1</t>
  </si>
  <si>
    <t>Yuridia Riojas Cotto</t>
  </si>
  <si>
    <t>nvaladez@yahoo.com</t>
  </si>
  <si>
    <t>c7ef43ee-8690-4aa4-9f03-8c8f2d905b35</t>
  </si>
  <si>
    <t>Hilda Corrales Ramon</t>
  </si>
  <si>
    <t>aldomarrero@hotmail.com</t>
  </si>
  <si>
    <t>582a5e26-8066-4160-aeff-a40ad4fe52e2</t>
  </si>
  <si>
    <t>Celia Cardona Griego</t>
  </si>
  <si>
    <t>luiscastellanos@club.com</t>
  </si>
  <si>
    <t>dac9f21c-448d-4f16-bcea-f8eb66b827c1</t>
  </si>
  <si>
    <t>Elvira Marisol Reyes Alfaro</t>
  </si>
  <si>
    <t>carlotaacevedo@benavidez.com</t>
  </si>
  <si>
    <t>a07f9aa3-2d4a-44b5-983f-9e8c4f941136</t>
  </si>
  <si>
    <t>Miguel Romo</t>
  </si>
  <si>
    <t>barbara15@laboratorios.info</t>
  </si>
  <si>
    <t>c3bb3562-c65e-4e05-bfb3-9df465d18c89</t>
  </si>
  <si>
    <t>Cristian Mercedes Rubio Medrano</t>
  </si>
  <si>
    <t>armando76@grupo.net</t>
  </si>
  <si>
    <t>9e9a947c-796d-4653-bc4d-b777a5aa5e38</t>
  </si>
  <si>
    <t>Dr. Fabiola Galindo</t>
  </si>
  <si>
    <t>asuncion98@yahoo.com</t>
  </si>
  <si>
    <t>a8b647c7-bcba-44a0-8e1a-6b49fad5f46a</t>
  </si>
  <si>
    <t>Susana Juarez</t>
  </si>
  <si>
    <t>marthabaez@gmail.com</t>
  </si>
  <si>
    <t>dca0f25c-824a-4634-827c-d385dafa7123</t>
  </si>
  <si>
    <t>Jos Mariana Cano</t>
  </si>
  <si>
    <t>oraya@laboratorios.com</t>
  </si>
  <si>
    <t>f2788526-390a-447d-aadf-5ad11ba53e76</t>
  </si>
  <si>
    <t>Ana Luisa Araceli de la Crúz</t>
  </si>
  <si>
    <t>jimenezirma@vega-mena.com</t>
  </si>
  <si>
    <t>720e7c71-4c87-47e1-b24a-7f8c021bc9a3</t>
  </si>
  <si>
    <t>Dr. Evelio Rosario</t>
  </si>
  <si>
    <t>xreyna@yahoo.com</t>
  </si>
  <si>
    <t>c6fe3646-36da-4379-b9d4-1237b3932c67</t>
  </si>
  <si>
    <t>Sr(a). Genaro Paz</t>
  </si>
  <si>
    <t>esmeraldadavila@laureano.net</t>
  </si>
  <si>
    <t>b8257a06-d0a6-4198-b8a6-7c4130b98420</t>
  </si>
  <si>
    <t>Francisco Javier Blanca Serrato</t>
  </si>
  <si>
    <t>montanezluis-miguel@industrias.com</t>
  </si>
  <si>
    <t>688bf8b0-b0ea-4f26-96a2-bf0bf26b0c06</t>
  </si>
  <si>
    <t>María Teresa Citlali Negrete</t>
  </si>
  <si>
    <t>nayeli04@villagomez-salcido.com</t>
  </si>
  <si>
    <t>f6d11075-7912-4e6a-b081-b8502c35c2e8</t>
  </si>
  <si>
    <t>Eric Joaquín Navarrete</t>
  </si>
  <si>
    <t>emiliano90@zayas-valentin.com</t>
  </si>
  <si>
    <t>2cd50550-d603-41b2-a403-b06bf90f402c</t>
  </si>
  <si>
    <t>Adalberto Nayeli Villarreal Davila</t>
  </si>
  <si>
    <t>raulbarela@barrera-najera.org</t>
  </si>
  <si>
    <t>8e4ddf27-be01-4cd2-bc4a-4045e7298017</t>
  </si>
  <si>
    <t>Mtro. Josefina Miramontes</t>
  </si>
  <si>
    <t>veronicaalarcon@gmail.com</t>
  </si>
  <si>
    <t>89a9fe2d-5336-4fdd-98cc-119f72686d97</t>
  </si>
  <si>
    <t>Gonzalo Rascon</t>
  </si>
  <si>
    <t>hilda61@grupo.info</t>
  </si>
  <si>
    <t>632f3ed9-ab81-468b-93d0-16a797a5d1c7</t>
  </si>
  <si>
    <t>Cristina Barbara de la Rosa</t>
  </si>
  <si>
    <t>jaramilloanabel@gmail.com</t>
  </si>
  <si>
    <t>5407753d-0304-48ca-9ea9-d8bbfb643e29</t>
  </si>
  <si>
    <t>Ing. David Valencia</t>
  </si>
  <si>
    <t>wmolina@yahoo.com</t>
  </si>
  <si>
    <t>f3c3146d-5022-4c1a-8a7c-38632c504802</t>
  </si>
  <si>
    <t>Amanda José Eduardo Rolon</t>
  </si>
  <si>
    <t>ochoaasuncion@gmail.com</t>
  </si>
  <si>
    <t>a73cd6f4-c471-4e0a-9570-af0860e0c5d1</t>
  </si>
  <si>
    <t>Antonia Borrego</t>
  </si>
  <si>
    <t>bcotto@hotmail.com</t>
  </si>
  <si>
    <t>9569ccbc-bd8e-4611-8386-71eeb9e0963f</t>
  </si>
  <si>
    <t>Pamela Magdalena Pantoja Sisneros</t>
  </si>
  <si>
    <t>vanesa92@gmail.com</t>
  </si>
  <si>
    <t>8ade79e6-11e9-4fba-b189-eb3b62f4cbd6</t>
  </si>
  <si>
    <t>Jorge Luis María Calderon Valdivia</t>
  </si>
  <si>
    <t>arceliagracia@ramos-carrillo.com</t>
  </si>
  <si>
    <t>590172c6-7ce0-48b6-82b2-7436a3631331</t>
  </si>
  <si>
    <t>Leonel Cruz Enríquez</t>
  </si>
  <si>
    <t>marmas@gmail.com</t>
  </si>
  <si>
    <t>a49f90f7-8839-4571-8758-445882bf113d</t>
  </si>
  <si>
    <t>Dr. Alonso Lucero</t>
  </si>
  <si>
    <t>villegasalejandra@gmail.com</t>
  </si>
  <si>
    <t>46930688-ab22-4f38-922e-c8bdee972554</t>
  </si>
  <si>
    <t>Liliana Altamirano Solano</t>
  </si>
  <si>
    <t>caraballosocorro@grupo.com</t>
  </si>
  <si>
    <t>20d27746-91f7-427d-9e21-02ca06d5e5c3</t>
  </si>
  <si>
    <t>Alejandro Rodrigo Guillen Paredes</t>
  </si>
  <si>
    <t>mitzynevarez@barrientos-roque.com</t>
  </si>
  <si>
    <t>cb2352c0-8796-4ebd-84d7-33203546a4cb</t>
  </si>
  <si>
    <t>Inés Meza Campos</t>
  </si>
  <si>
    <t>mariano56@gmail.com</t>
  </si>
  <si>
    <t>42475c68-ebdf-44e9-8ae2-152388b5d345</t>
  </si>
  <si>
    <t>Mauricio José Luis Arroyo Mascareñas</t>
  </si>
  <si>
    <t>cristalfernandez@avalos-puga.org</t>
  </si>
  <si>
    <t>f10d9e5e-78e5-42f9-984f-478745f93fb9</t>
  </si>
  <si>
    <t>Ofelia Suarez</t>
  </si>
  <si>
    <t>mauricio18@preciado-acuna.com</t>
  </si>
  <si>
    <t>e7e6c336-1e49-4295-a6a2-d4acf044ce4d</t>
  </si>
  <si>
    <t>Armando Ángela Juarez</t>
  </si>
  <si>
    <t>marco-antonio11@proyectos.org</t>
  </si>
  <si>
    <t>31d353ab-28f4-4ab9-8b40-a16ebfc9742a</t>
  </si>
  <si>
    <t>Citlali Pantoja</t>
  </si>
  <si>
    <t>raulzayas@gmail.com</t>
  </si>
  <si>
    <t>4c7d52b9-0e48-4e31-bcf4-e5fd45e48176</t>
  </si>
  <si>
    <t>Ing. Anabel Carreon</t>
  </si>
  <si>
    <t>moraclara@hotmail.com</t>
  </si>
  <si>
    <t>700aef49-fe52-4fd6-8401-bbfa8ba48024</t>
  </si>
  <si>
    <t>Íscar Cadena Valle</t>
  </si>
  <si>
    <t>corneliohidalgo@hotmail.com</t>
  </si>
  <si>
    <t>dffbee9b-2a20-4916-9f32-44754d3fae5d</t>
  </si>
  <si>
    <t>Samuel Esteban Caraballo Balderas</t>
  </si>
  <si>
    <t>eugeniocano@yahoo.com</t>
  </si>
  <si>
    <t>7262df37-0083-41ed-b686-43f93dc8ea21</t>
  </si>
  <si>
    <t>Ana María Pichardo Sepúlveda</t>
  </si>
  <si>
    <t>partidaisrael@ramon.info</t>
  </si>
  <si>
    <t>4404f1db-09be-4f2c-92f0-2d65ee6b0394</t>
  </si>
  <si>
    <t>Mayte Acevedo Viera</t>
  </si>
  <si>
    <t>umayorga@yahoo.com</t>
  </si>
  <si>
    <t>c7da08b2-c581-41ed-8398-757d407a24ef</t>
  </si>
  <si>
    <t>Trinidad Badillo</t>
  </si>
  <si>
    <t>coronadomodesto@hotmail.com</t>
  </si>
  <si>
    <t>698672ae-dbbd-4086-a5f7-90c3dfe00ff8</t>
  </si>
  <si>
    <t>Yuridia Rubén Armendariz</t>
  </si>
  <si>
    <t>claudia24@industrias.com</t>
  </si>
  <si>
    <t>9e945271-543f-4b06-a34e-b1dfcd6b8450</t>
  </si>
  <si>
    <t>Carolina Clara Cotto</t>
  </si>
  <si>
    <t>tamezjacinto@bravo.info</t>
  </si>
  <si>
    <t>9d189c13-ff1e-411f-93d3-ee251f727785</t>
  </si>
  <si>
    <t>Héctor José Luis Vaca</t>
  </si>
  <si>
    <t>ignaciocandelaria@merino.com</t>
  </si>
  <si>
    <t>a244bdbd-1394-4bdb-bbc3-e6fc452874c4</t>
  </si>
  <si>
    <t>Ana Alvarado Zambrano</t>
  </si>
  <si>
    <t>ppineda@hotmail.com</t>
  </si>
  <si>
    <t>ec0799d5-b19c-407d-9997-ef035cb093a4</t>
  </si>
  <si>
    <t>Jesús Burgos Ballesteros</t>
  </si>
  <si>
    <t>yeni67@hotmail.com</t>
  </si>
  <si>
    <t>117eebda-32b4-42cc-95e1-dc2c259fffa6</t>
  </si>
  <si>
    <t>Yolanda Joaquín Barela Méndez</t>
  </si>
  <si>
    <t>amandabarela@gmail.com</t>
  </si>
  <si>
    <t>d8cce44d-2d8e-494b-b543-022a5aa32bef</t>
  </si>
  <si>
    <t>Clemente Omar Olivo</t>
  </si>
  <si>
    <t>corralrolando@yahoo.com</t>
  </si>
  <si>
    <t>1d820555-0e65-4a21-b58e-10930e326e7b</t>
  </si>
  <si>
    <t>Marisela Zeferino Adame Ureña</t>
  </si>
  <si>
    <t>cintronjose-emilio@rascon-najera.com</t>
  </si>
  <si>
    <t>ed9aad8e-d0c1-4dda-a2ae-ab5809b7fd52</t>
  </si>
  <si>
    <t>Liliana Verduzco</t>
  </si>
  <si>
    <t>yamaya@yahoo.com</t>
  </si>
  <si>
    <t>75a62e15-6018-4f88-b473-5dd4eb79e63b</t>
  </si>
  <si>
    <t>Dolores Pablo Menéndez</t>
  </si>
  <si>
    <t>beatriz85@almanza-carrera.com</t>
  </si>
  <si>
    <t>2119f43d-1200-4439-ad32-eab189cb6475</t>
  </si>
  <si>
    <t>Héctor Luevano</t>
  </si>
  <si>
    <t>sergio69@laboratorios.com</t>
  </si>
  <si>
    <t>517b090a-2e73-4c68-aad4-180d1350b369</t>
  </si>
  <si>
    <t>Esteban José Emilio Polanco Valentín</t>
  </si>
  <si>
    <t>ariastrinidad@despacho.com</t>
  </si>
  <si>
    <t>7c10c6c6-9acd-42a2-b74c-041e173a74ff</t>
  </si>
  <si>
    <t>Federico Alfaro</t>
  </si>
  <si>
    <t>dmedina@gmail.com</t>
  </si>
  <si>
    <t>b847cf15-a430-4067-b4ba-2bca14b1ebd1</t>
  </si>
  <si>
    <t>Indira Brito</t>
  </si>
  <si>
    <t>galfaro@yahoo.com</t>
  </si>
  <si>
    <t>4b439440-bf95-4e0b-865c-32dff4dfe00b</t>
  </si>
  <si>
    <t>Mtro. Abelardo Ríos</t>
  </si>
  <si>
    <t>jaquelinecaban@muniz.info</t>
  </si>
  <si>
    <t>99b0e8dd-7174-4559-a628-143ef6d46608</t>
  </si>
  <si>
    <t>Íscar Ulloa Valdivia</t>
  </si>
  <si>
    <t>alvaro06@yahoo.com</t>
  </si>
  <si>
    <t>5150f58c-f863-4f35-bdd4-d6cfc1a1ef10</t>
  </si>
  <si>
    <t>Miguel Ángel Alberto Tamayo</t>
  </si>
  <si>
    <t>mitzy72@gmail.com</t>
  </si>
  <si>
    <t>5e092005-bbaf-4295-9ccc-3c9493b48d04</t>
  </si>
  <si>
    <t>Esmeralda Eugenia Ceja</t>
  </si>
  <si>
    <t>hruelas@gmail.com</t>
  </si>
  <si>
    <t>37a9f5be-b24a-4f6c-97bd-9b822a31fa1d</t>
  </si>
  <si>
    <t>Estela Alejandro Caballero</t>
  </si>
  <si>
    <t>olivia25@proyectos.com</t>
  </si>
  <si>
    <t>325642ee-2d8b-4a13-a954-d573be58d386</t>
  </si>
  <si>
    <t>David Prado</t>
  </si>
  <si>
    <t>fgamboa@yahoo.com</t>
  </si>
  <si>
    <t>86dddca7-94b8-407d-9b43-bb0906ba81e6</t>
  </si>
  <si>
    <t>Patricia Candelaria Ramon</t>
  </si>
  <si>
    <t>maria-del-carmen56@alonzo.com</t>
  </si>
  <si>
    <t>791a6835-1e53-4dab-9537-f28d07071087</t>
  </si>
  <si>
    <t>Marcos Alba Becerra</t>
  </si>
  <si>
    <t>emiliano63@gmail.com</t>
  </si>
  <si>
    <t>1d0dc58b-5630-4061-a4c4-8af444dd978f</t>
  </si>
  <si>
    <t>Marisela Preciado</t>
  </si>
  <si>
    <t>roblesmanuel@gmail.com</t>
  </si>
  <si>
    <t>3cd2ba34-59ca-4654-b969-558904dc2456</t>
  </si>
  <si>
    <t>Lic. Lorenzo Zaragoza</t>
  </si>
  <si>
    <t>zarguello@yahoo.com</t>
  </si>
  <si>
    <t>66a70af2-e06b-4866-8aaa-a2912c261d68</t>
  </si>
  <si>
    <t>Lic. Carmen Brito</t>
  </si>
  <si>
    <t>estefania59@club.com</t>
  </si>
  <si>
    <t>d035d687-44b0-4ce5-a8c5-2c6ad05a14b6</t>
  </si>
  <si>
    <t>Diego Nancy Madrid Cornejo</t>
  </si>
  <si>
    <t>velafabiola@hotmail.com</t>
  </si>
  <si>
    <t>69ab5c31-c863-41d0-94a7-8aa6b0126003</t>
  </si>
  <si>
    <t>Conchita Calvillo Alba</t>
  </si>
  <si>
    <t>sara71@lucero.com</t>
  </si>
  <si>
    <t>257f5799-af41-462b-b2f9-acae82ba412c</t>
  </si>
  <si>
    <t>Lic. Aurora Zamudio</t>
  </si>
  <si>
    <t>alta-gracia96@club.info</t>
  </si>
  <si>
    <t>d21d73fe-7b8a-4ddb-a473-47c717ebb087</t>
  </si>
  <si>
    <t>Leonor Cristina Concepcion</t>
  </si>
  <si>
    <t>murocynthia@club.info</t>
  </si>
  <si>
    <t>c6ebe95f-880f-4175-b857-173d436e2753</t>
  </si>
  <si>
    <t>Pamela Homero Arreola Godoy</t>
  </si>
  <si>
    <t>carolina12@valdes.com</t>
  </si>
  <si>
    <t>7a049296-c624-4bff-8f06-3b6b06011495</t>
  </si>
  <si>
    <t>Ruby Amador Quintero</t>
  </si>
  <si>
    <t>marianodelgadillo@proyectos.com</t>
  </si>
  <si>
    <t>7ce37500-a380-4f67-8cbb-04f3cb8e5cc8</t>
  </si>
  <si>
    <t>Mauro Meléndez</t>
  </si>
  <si>
    <t>patricia66@hotmail.com</t>
  </si>
  <si>
    <t>43c7bc6c-6c1b-481e-b0de-1a182eecc87e</t>
  </si>
  <si>
    <t>Ing. Georgina Murillo</t>
  </si>
  <si>
    <t>angel23@yahoo.com</t>
  </si>
  <si>
    <t>7a491145-3991-4010-a1e5-3b0f7d86b7e3</t>
  </si>
  <si>
    <t>Alejandra Roldan</t>
  </si>
  <si>
    <t>almafajardo@proyectos.com</t>
  </si>
  <si>
    <t>530801f5-4c88-4d00-b297-5944ebece83d</t>
  </si>
  <si>
    <t>Pilar Luisa Bonilla Garrido</t>
  </si>
  <si>
    <t>silviapabon@corporacin.com</t>
  </si>
  <si>
    <t>403acb42-0f8a-41c6-b42a-d1adc4b62bfb</t>
  </si>
  <si>
    <t>Bernabé Zaragoza</t>
  </si>
  <si>
    <t>htorrez@despacho.com</t>
  </si>
  <si>
    <t>f652769b-e1e8-44a1-8f3d-6f80c1ac3f13</t>
  </si>
  <si>
    <t>Armando Monica Reyna</t>
  </si>
  <si>
    <t>bravofrancisco@gmail.com</t>
  </si>
  <si>
    <t>c29d00e9-6a9a-45f0-b194-a343ff209570</t>
  </si>
  <si>
    <t>Dr. José Manuél Candelaria</t>
  </si>
  <si>
    <t>gabriel22@pineda-villarreal.info</t>
  </si>
  <si>
    <t>ece1df7a-ba2b-48cc-9d1f-e8d8a307a1c6</t>
  </si>
  <si>
    <t>Estela Ivan Figueroa</t>
  </si>
  <si>
    <t>maria-del-carmenramos@hotmail.com</t>
  </si>
  <si>
    <t>0e8a03cd-16fb-4487-accf-bc309a83a97e</t>
  </si>
  <si>
    <t>María Luisa Cardenas Montemayor</t>
  </si>
  <si>
    <t>rgarza@castellanos-cedillo.net</t>
  </si>
  <si>
    <t>d337811c-59ff-494c-9e71-77b6282c296c</t>
  </si>
  <si>
    <t>Dr. José Eduardo Moreno</t>
  </si>
  <si>
    <t>pbarrera@gmail.com</t>
  </si>
  <si>
    <t>017b54f8-9568-458c-be6a-2127e15e3349</t>
  </si>
  <si>
    <t>Mtro. Órsula Palacios</t>
  </si>
  <si>
    <t>violetaorta@hotmail.com</t>
  </si>
  <si>
    <t>8d755bac-229c-4065-93f5-cba971acb014</t>
  </si>
  <si>
    <t>Nadia Canales Núñez</t>
  </si>
  <si>
    <t>miriam44@bravo.com</t>
  </si>
  <si>
    <t>0aaaf135-b356-4f2c-bdf2-f1df1f461081</t>
  </si>
  <si>
    <t>Dr. Estefanía Casas</t>
  </si>
  <si>
    <t>madridolga@yahoo.com</t>
  </si>
  <si>
    <t>1fc16a62-28d6-40bf-bd79-70a515ccaa32</t>
  </si>
  <si>
    <t>Dr. Íliver de Leon</t>
  </si>
  <si>
    <t>del-vallegabino@cornejo-valles.info</t>
  </si>
  <si>
    <t>123ae22b-bc9d-4228-96dc-fc15dfb19590</t>
  </si>
  <si>
    <t>Dr. María Eugenia Valdivia</t>
  </si>
  <si>
    <t>dvaladez@saldivar.biz</t>
  </si>
  <si>
    <t>66f10c57-ee31-4fe2-b3a9-4e88f49e1e71</t>
  </si>
  <si>
    <t>Eugenio Fernando Delgado</t>
  </si>
  <si>
    <t>zcamarillo@yahoo.com</t>
  </si>
  <si>
    <t>983f661d-1d5c-478c-aef5-611a679c13a6</t>
  </si>
  <si>
    <t>Modesto Rufino Mares Negron</t>
  </si>
  <si>
    <t>maytetovar@hotmail.com</t>
  </si>
  <si>
    <t>1f451643-e6fa-4d54-b03d-304b7a23b3e1</t>
  </si>
  <si>
    <t>Dr. Ariadna de Jesús</t>
  </si>
  <si>
    <t>monica51@gmail.com</t>
  </si>
  <si>
    <t>2394f979-8464-44ce-a630-ae28dbf2d042</t>
  </si>
  <si>
    <t>Jorge Luis Blanca Regalado Mora</t>
  </si>
  <si>
    <t>horaciourrutia@saucedo.com</t>
  </si>
  <si>
    <t>cce81a35-f0aa-40e7-a33d-43e447f74b34</t>
  </si>
  <si>
    <t>Beatriz Virginia Duarte Flores</t>
  </si>
  <si>
    <t>lmaldonado@yahoo.com</t>
  </si>
  <si>
    <t>d2226fcc-944b-4300-a358-816d2b168c5f</t>
  </si>
  <si>
    <t>Lic. Jorge Alva</t>
  </si>
  <si>
    <t>felipe48@proyectos.com</t>
  </si>
  <si>
    <t>d4d30727-21e7-45cf-abfd-68611006864c</t>
  </si>
  <si>
    <t>Zeferino Leon</t>
  </si>
  <si>
    <t>trujilloalonso@gmail.com</t>
  </si>
  <si>
    <t>b7681cb8-fbde-4312-ba1b-0c772e149e82</t>
  </si>
  <si>
    <t>María Teresa Ocasio Vera</t>
  </si>
  <si>
    <t>alvavioleta@grupo.com</t>
  </si>
  <si>
    <t>d9f6800f-10da-460e-b27e-bdbb10820a14</t>
  </si>
  <si>
    <t>Jesús Carreon</t>
  </si>
  <si>
    <t>victorialeal@hotmail.com</t>
  </si>
  <si>
    <t>dc08f2b8-94f2-4889-8156-0e3c3724d0ff</t>
  </si>
  <si>
    <t>Ramiro Adriana Botello</t>
  </si>
  <si>
    <t>wgarica@industrias.info</t>
  </si>
  <si>
    <t>0fcf615c-8bf9-42ad-9b7b-8c8dfce43c46</t>
  </si>
  <si>
    <t>Débora Alberto de Jesús Rodríguez</t>
  </si>
  <si>
    <t>josefinabueno@despacho.com</t>
  </si>
  <si>
    <t>bdb0c3e4-d084-49a5-a6b4-ba900b20e2ae</t>
  </si>
  <si>
    <t>Dr. Aida Perales</t>
  </si>
  <si>
    <t>abrilbadillo@hotmail.com</t>
  </si>
  <si>
    <t>3bd772bc-8bbc-41a0-b2df-bdeee19f3595</t>
  </si>
  <si>
    <t>Dalia Barrera</t>
  </si>
  <si>
    <t>ymendez@yahoo.com</t>
  </si>
  <si>
    <t>47c5d8d5-18ad-4bf9-80ad-542822b25aca</t>
  </si>
  <si>
    <t>Sr(a). Diego Adame</t>
  </si>
  <si>
    <t>hestevez@yahoo.com</t>
  </si>
  <si>
    <t>8dac1bb0-62a5-4b93-9f18-74bb64e1f8a8</t>
  </si>
  <si>
    <t>Guillermina Otero</t>
  </si>
  <si>
    <t>esmeraldaguajardo@yahoo.com</t>
  </si>
  <si>
    <t>6b2a6d67-9ca9-4751-9892-59fbd4257856</t>
  </si>
  <si>
    <t>Ing. Wilfrido Carranza</t>
  </si>
  <si>
    <t>sevillamicaela@villarreal.com</t>
  </si>
  <si>
    <t>7e9821f4-95d8-433f-958b-d88fd9985891</t>
  </si>
  <si>
    <t>Hilda Armando Padilla Castellanos</t>
  </si>
  <si>
    <t>zmejia@club.com</t>
  </si>
  <si>
    <t>36cbc08f-0000-4ac1-a306-2119638696af</t>
  </si>
  <si>
    <t>Sr(a). Socorro Jurado</t>
  </si>
  <si>
    <t>sepulvedacarlos@amaya-ortega.com</t>
  </si>
  <si>
    <t>e6cdf437-19fd-4174-9933-e60c7eb6eab2</t>
  </si>
  <si>
    <t>Pedro Eric Parra Palacios</t>
  </si>
  <si>
    <t>barrazacornelio@yahoo.com</t>
  </si>
  <si>
    <t>2ee16a28-cb66-41ad-9e11-480593b992f3</t>
  </si>
  <si>
    <t>Gilberto Fajardo Esquivel</t>
  </si>
  <si>
    <t>tvaldivia@alarcon.info</t>
  </si>
  <si>
    <t>5cfc2d19-d3e9-408a-82b3-9e72a480e588</t>
  </si>
  <si>
    <t>Oswaldo Magaña</t>
  </si>
  <si>
    <t>najerazeferino@hotmail.com</t>
  </si>
  <si>
    <t>4d3c7cfd-d33e-47a8-a31b-f2a694c31429</t>
  </si>
  <si>
    <t>Roberto María Cristina Madera Alejandro</t>
  </si>
  <si>
    <t>teodoro56@yahoo.com</t>
  </si>
  <si>
    <t>bfde20ee-a837-4bd7-af36-f9e5b40dfe3b</t>
  </si>
  <si>
    <t>María José Jacobo Perales Ortiz</t>
  </si>
  <si>
    <t>oliver93@hotmail.com</t>
  </si>
  <si>
    <t>ead07a50-6dc3-4997-a078-77b5ae38bb54</t>
  </si>
  <si>
    <t>Lic. Mateo Salazar</t>
  </si>
  <si>
    <t>aurora38@hotmail.com</t>
  </si>
  <si>
    <t>8d472941-b5df-4f80-b3a6-ece0e6978e8a</t>
  </si>
  <si>
    <t>Olivia Cristobal Oquendo Nieves</t>
  </si>
  <si>
    <t>vquesada@grupo.com</t>
  </si>
  <si>
    <t>99a8722a-ede3-4080-9d85-450687f17be6</t>
  </si>
  <si>
    <t>Mes</t>
  </si>
  <si>
    <t>Ciudad Corregida</t>
  </si>
  <si>
    <t>Categoria</t>
  </si>
  <si>
    <t>Tipo</t>
  </si>
  <si>
    <t>Especificaciones</t>
  </si>
  <si>
    <t>Teléfono-Gama media-8GB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</si>
  <si>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</si>
  <si>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</si>
  <si>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</si>
  <si>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</si>
  <si>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</si>
  <si>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</si>
  <si>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Tablet</t>
  </si>
  <si>
    <t>Ciudad con las mayores ventas totales</t>
  </si>
  <si>
    <t>Monterrey</t>
  </si>
  <si>
    <t>Mes con los mejores resultados</t>
  </si>
  <si>
    <t>Octubre</t>
  </si>
  <si>
    <t>Precio promedio por categoría de producto</t>
  </si>
  <si>
    <t>Auriculares = 1256.64
Laptop = 1311.06 
Tablet = 1210.01 
Teléfono =1200.89</t>
  </si>
  <si>
    <t xml:space="preserve">Ventas totales </t>
  </si>
  <si>
    <t>Ventas totales</t>
  </si>
  <si>
    <t>Bogotá</t>
  </si>
  <si>
    <t>Ciudad De Mexico</t>
  </si>
  <si>
    <t>November</t>
  </si>
  <si>
    <t>December</t>
  </si>
  <si>
    <t>Cali</t>
  </si>
  <si>
    <t>Tulum</t>
  </si>
  <si>
    <t>📊 Insights clave:</t>
  </si>
  <si>
    <t>• Ciudad líder: Monterrey</t>
  </si>
  <si>
    <t>• Mayor venta: Noviembre</t>
  </si>
  <si>
    <t>• Tendencia: crecimiento y caída en diciembre</t>
  </si>
  <si>
    <t>Resumen ejecutivo</t>
  </si>
  <si>
    <t>Categoría</t>
  </si>
  <si>
    <t>1. Limpieza</t>
  </si>
  <si>
    <t>Cantidad de datos duplicados</t>
  </si>
  <si>
    <t>No se encontraron filas duplicadas</t>
  </si>
  <si>
    <t>Cantidad de filas con valor nulo en la columna `Precio unitario` y `Monto total`</t>
  </si>
  <si>
    <t xml:space="preserve">Se esncontraron 6 filas en la columnade Monto total vacias las cuales corresponden a las filas: 56, 104, 375, 428, 497 y 511. Y se encontraron 10 filas vacias en la columna de precio unitario las culaes son: 44, 55, 92, 115, 183, 318, 322, 429, 446 y 539     </t>
  </si>
  <si>
    <t>2. Hallazgos principales</t>
  </si>
  <si>
    <t>Producto más vendido por cantidad</t>
  </si>
  <si>
    <t>Ciudad con mayor volumen de ventas totales</t>
  </si>
  <si>
    <t>Recomendación</t>
  </si>
  <si>
    <t>Las ventas se concentran en Monterrey, siendo la ciudad con mayor desempeño durante el trimestre. Se recomienda fortalecer las estrategias comerciales en esta ciudad, como promociones y fidelización de clientes, para maximizar ingresos, mientras se analizan oportunidades de crecimiento en ciudades con menor rendimiento como Tulum. También, Las ventas alcanzan su punto máximo en noviembre y disminuyen en diciembre. Se recomienda reforzar estrategias comerciales al cierre del trimestre para evitar la caída en ventas</t>
  </si>
  <si>
    <t>3. Metodología de limpieza</t>
  </si>
  <si>
    <t>Problemas encontrados en los datos originales.</t>
  </si>
  <si>
    <t>Durante el proceso de preparación del dataset, se identificaron varios problemas de calidad que dificultaban el análisis adecuado de la información. A continuación, se describen las acciones realizadas:
Columna “Fecha de venta”:
Los datos se encontraban en un único formato que no facilitaba el análisis temporal. Se transformaron y organizaron para permitir el estudio del comportamiento de las ventas a lo largo del tiempo, incluyendo la creación de una columna adicional de mes.
Columna “Ciudad”:
Se detectaron inconsistencias en el formato de los nombres, así como espacios innecesarios. Se aplicaron funciones de limpieza para estandarizar los textos (uso de mayúsculas/minúsculas y eliminación de espacios), generando una columna de “Ciudad corregida”.
Columna “Producto”:
Contenía múltiples atributos en una sola celda, lo que dificultaba su análisis. Se procedió a dividir esta información en columnas independientes (categoría, tipo y especificaciones) para mejorar su usabilidad.
Columnas numéricas:
Los valores no contaban con un formato adecuado. Se aplicó formato de moneda para facilitar la lectura e interpretación de los datos.</t>
  </si>
  <si>
    <t>4. Limitaciones</t>
  </si>
  <si>
    <t>Información adicional requerida (si aplica)</t>
  </si>
  <si>
    <t xml:space="preserve">Tuve que estudiar temas no vistos en el sprint par apoder dar ciertas coluciones como usar datos de una hoja en otra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</si>
</sst>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"/>
    <numFmt numFmtId="165" formatCode="&quot;$&quot;#,##0.00"/>
    <numFmt numFmtId="166" formatCode="M/d/yyyy"/>
  </numFmts>
  <fonts count="12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b/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color theme="1"/>
      <name val="Aptos Narrow"/>
    </font>
    <font>
      <color theme="1"/>
      <name val="Arial"/>
    </font>
    <font>
      <b/>
      <sz val="20.0"/>
      <color theme="1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11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2" numFmtId="166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166" xfId="0" applyAlignment="1" applyFont="1" applyNumberFormat="1">
      <alignment horizontal="right" vertical="bottom"/>
    </xf>
    <xf borderId="0" fillId="0" fontId="1" numFmtId="166" xfId="0" applyFont="1" applyNumberFormat="1"/>
    <xf borderId="0" fillId="0" fontId="7" numFmtId="165" xfId="0" applyFont="1" applyNumberFormat="1"/>
    <xf borderId="0" fillId="0" fontId="8" numFmtId="166" xfId="0" applyFont="1" applyNumberFormat="1"/>
    <xf borderId="0" fillId="0" fontId="1" numFmtId="11" xfId="0" applyFont="1" applyNumberFormat="1"/>
    <xf borderId="0" fillId="0" fontId="9" numFmtId="166" xfId="0" applyFont="1" applyNumberFormat="1"/>
    <xf borderId="1" fillId="0" fontId="3" numFmtId="0" xfId="0" applyBorder="1" applyFont="1"/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6" numFmtId="165" xfId="0" applyFont="1" applyNumberFormat="1"/>
    <xf borderId="0" fillId="0" fontId="5" numFmtId="165" xfId="0" applyAlignment="1" applyFont="1" applyNumberFormat="1">
      <alignment readingOrder="0"/>
    </xf>
    <xf borderId="0" fillId="0" fontId="7" numFmtId="0" xfId="0" applyFont="1"/>
    <xf borderId="0" fillId="0" fontId="7" numFmtId="166" xfId="0" applyFont="1" applyNumberFormat="1"/>
    <xf borderId="0" fillId="0" fontId="7" numFmtId="0" xfId="0" applyAlignment="1" applyFont="1">
      <alignment readingOrder="0"/>
    </xf>
    <xf borderId="2" fillId="0" fontId="10" numFmtId="0" xfId="0" applyAlignment="1" applyBorder="1" applyFont="1">
      <alignment horizontal="center"/>
    </xf>
    <xf borderId="3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totales por Ciudad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Visualizaciones!$D$1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Visualizaciones!$C$2:$C$8</c:f>
            </c:strRef>
          </c:cat>
          <c:val>
            <c:numRef>
              <c:f>Visualizaciones!$D$2:$D$8</c:f>
              <c:numCache/>
            </c:numRef>
          </c:val>
        </c:ser>
        <c:axId val="38752859"/>
        <c:axId val="767777966"/>
      </c:barChart>
      <c:catAx>
        <c:axId val="38752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777966"/>
      </c:catAx>
      <c:valAx>
        <c:axId val="767777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528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mensual de ventas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Visualizaciones!$H$1</c:f>
            </c:strRef>
          </c:tx>
          <c:spPr>
            <a:ln cmpd="sng" w="38100">
              <a:solidFill>
                <a:srgbClr val="156082"/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156082"/>
              </a:solidFill>
              <a:ln cmpd="sng">
                <a:solidFill>
                  <a:srgbClr val="15608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Visualizaciones!$G$2:$G$4</c:f>
            </c:strRef>
          </c:cat>
          <c:val>
            <c:numRef>
              <c:f>Visualizaciones!$H$2:$H$4</c:f>
              <c:numCache/>
            </c:numRef>
          </c:val>
          <c:smooth val="0"/>
        </c:ser>
        <c:axId val="7759414"/>
        <c:axId val="1387136143"/>
      </c:lineChart>
      <c:catAx>
        <c:axId val="7759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136143"/>
      </c:catAx>
      <c:valAx>
        <c:axId val="1387136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9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8</xdr:row>
      <xdr:rowOff>123825</xdr:rowOff>
    </xdr:from>
    <xdr:ext cx="5715000" cy="3533775"/>
    <xdr:graphicFrame>
      <xdr:nvGraphicFramePr>
        <xdr:cNvPr id="147113712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3171825</xdr:colOff>
      <xdr:row>8</xdr:row>
      <xdr:rowOff>142875</xdr:rowOff>
    </xdr:from>
    <xdr:ext cx="5619750" cy="3486150"/>
    <xdr:graphicFrame>
      <xdr:nvGraphicFramePr>
        <xdr:cNvPr id="200000764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11.11"/>
    <col customWidth="1" min="3" max="3" width="14.67"/>
    <col customWidth="1" min="4" max="6" width="10.56"/>
    <col customWidth="1" min="7" max="7" width="16.67"/>
    <col customWidth="1" min="8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ht="15.75" customHeight="1">
      <c r="A2" s="5">
        <v>45566.0</v>
      </c>
      <c r="B2" s="3" t="s">
        <v>9</v>
      </c>
      <c r="C2" s="2" t="s">
        <v>10</v>
      </c>
      <c r="D2" s="6">
        <v>1339.17</v>
      </c>
      <c r="E2" s="6">
        <v>2.0</v>
      </c>
      <c r="F2" s="7">
        <v>2678.34</v>
      </c>
      <c r="G2" s="2" t="s">
        <v>11</v>
      </c>
      <c r="H2" s="2" t="s">
        <v>12</v>
      </c>
      <c r="I2" s="2" t="s">
        <v>13</v>
      </c>
    </row>
    <row r="3" ht="15.75" customHeight="1">
      <c r="A3" s="1">
        <v>45566.0</v>
      </c>
      <c r="B3" s="3" t="s">
        <v>14</v>
      </c>
      <c r="C3" s="2" t="s">
        <v>15</v>
      </c>
      <c r="D3" s="6">
        <v>716.29</v>
      </c>
      <c r="E3" s="6">
        <v>1.0</v>
      </c>
      <c r="F3" s="7">
        <v>716.29</v>
      </c>
      <c r="G3" s="2" t="s">
        <v>16</v>
      </c>
      <c r="H3" s="2" t="s">
        <v>17</v>
      </c>
      <c r="I3" s="2" t="s">
        <v>18</v>
      </c>
    </row>
    <row r="4" ht="15.75" customHeight="1">
      <c r="A4" s="1">
        <v>45568.0</v>
      </c>
      <c r="B4" s="3" t="s">
        <v>9</v>
      </c>
      <c r="C4" s="2" t="s">
        <v>15</v>
      </c>
      <c r="D4" s="6">
        <v>439.01</v>
      </c>
      <c r="E4" s="6">
        <v>5.0</v>
      </c>
      <c r="F4" s="7">
        <v>2195.05</v>
      </c>
      <c r="G4" s="3" t="s">
        <v>19</v>
      </c>
      <c r="H4" s="2" t="s">
        <v>20</v>
      </c>
      <c r="I4" s="2" t="s">
        <v>21</v>
      </c>
    </row>
    <row r="5" ht="15.75" customHeight="1">
      <c r="A5" s="1">
        <v>45568.0</v>
      </c>
      <c r="B5" s="3" t="s">
        <v>14</v>
      </c>
      <c r="C5" s="2" t="s">
        <v>22</v>
      </c>
      <c r="D5" s="6">
        <v>741.79</v>
      </c>
      <c r="E5" s="6">
        <v>2.0</v>
      </c>
      <c r="F5" s="7">
        <v>1483.58</v>
      </c>
      <c r="G5" s="2" t="s">
        <v>23</v>
      </c>
      <c r="H5" s="2" t="s">
        <v>24</v>
      </c>
      <c r="I5" s="2" t="s">
        <v>25</v>
      </c>
    </row>
    <row r="6" ht="15.75" customHeight="1">
      <c r="A6" s="1">
        <v>45568.0</v>
      </c>
      <c r="B6" s="3" t="s">
        <v>14</v>
      </c>
      <c r="C6" s="2" t="s">
        <v>10</v>
      </c>
      <c r="D6" s="6">
        <v>984.34</v>
      </c>
      <c r="E6" s="6">
        <v>3.0</v>
      </c>
      <c r="F6" s="7">
        <v>2953.02</v>
      </c>
      <c r="G6" s="3" t="s">
        <v>26</v>
      </c>
      <c r="H6" s="2" t="s">
        <v>27</v>
      </c>
      <c r="I6" s="2" t="s">
        <v>28</v>
      </c>
    </row>
    <row r="7" ht="15.75" customHeight="1">
      <c r="A7" s="1">
        <v>45568.0</v>
      </c>
      <c r="B7" s="3" t="s">
        <v>29</v>
      </c>
      <c r="C7" s="2" t="s">
        <v>30</v>
      </c>
      <c r="D7" s="6">
        <v>2419.81</v>
      </c>
      <c r="E7" s="6">
        <v>5.0</v>
      </c>
      <c r="F7" s="7">
        <v>12099.05</v>
      </c>
      <c r="G7" s="3" t="s">
        <v>31</v>
      </c>
      <c r="H7" s="2" t="s">
        <v>32</v>
      </c>
      <c r="I7" s="2" t="s">
        <v>33</v>
      </c>
    </row>
    <row r="8" ht="15.75" customHeight="1">
      <c r="A8" s="1">
        <v>45568.0</v>
      </c>
      <c r="B8" s="2" t="s">
        <v>34</v>
      </c>
      <c r="C8" s="2" t="s">
        <v>35</v>
      </c>
      <c r="D8" s="6">
        <v>145.9</v>
      </c>
      <c r="E8" s="6">
        <v>5.0</v>
      </c>
      <c r="F8" s="7">
        <v>729.5</v>
      </c>
      <c r="G8" s="2" t="s">
        <v>36</v>
      </c>
      <c r="H8" s="2" t="s">
        <v>37</v>
      </c>
      <c r="I8" s="2" t="s">
        <v>38</v>
      </c>
    </row>
    <row r="9" ht="15.75" customHeight="1">
      <c r="A9" s="1">
        <v>45569.0</v>
      </c>
      <c r="B9" s="3" t="s">
        <v>29</v>
      </c>
      <c r="C9" s="2" t="s">
        <v>39</v>
      </c>
      <c r="D9" s="6">
        <v>1086.48</v>
      </c>
      <c r="E9" s="6">
        <v>1.0</v>
      </c>
      <c r="F9" s="7">
        <v>1086.48</v>
      </c>
      <c r="G9" s="2" t="s">
        <v>40</v>
      </c>
      <c r="H9" s="2" t="s">
        <v>41</v>
      </c>
      <c r="I9" s="2" t="s">
        <v>42</v>
      </c>
    </row>
    <row r="10" ht="15.75" customHeight="1">
      <c r="A10" s="1">
        <v>45570.0</v>
      </c>
      <c r="B10" s="3" t="s">
        <v>9</v>
      </c>
      <c r="C10" s="2" t="s">
        <v>39</v>
      </c>
      <c r="D10" s="6">
        <v>1898.32</v>
      </c>
      <c r="E10" s="6">
        <v>4.0</v>
      </c>
      <c r="F10" s="7">
        <v>7593.28</v>
      </c>
      <c r="G10" s="2" t="s">
        <v>43</v>
      </c>
      <c r="H10" s="2" t="s">
        <v>44</v>
      </c>
      <c r="I10" s="2" t="s">
        <v>45</v>
      </c>
    </row>
    <row r="11" ht="15.75" customHeight="1">
      <c r="A11" s="1">
        <v>45571.0</v>
      </c>
      <c r="B11" s="3" t="s">
        <v>9</v>
      </c>
      <c r="C11" s="2" t="s">
        <v>10</v>
      </c>
      <c r="D11" s="6">
        <v>1280.61</v>
      </c>
      <c r="E11" s="6">
        <v>5.0</v>
      </c>
      <c r="F11" s="7">
        <v>6403.05</v>
      </c>
      <c r="G11" s="2" t="s">
        <v>46</v>
      </c>
      <c r="H11" s="2" t="s">
        <v>47</v>
      </c>
      <c r="I11" s="8" t="s">
        <v>48</v>
      </c>
    </row>
    <row r="12" ht="15.75" customHeight="1">
      <c r="A12" s="1">
        <v>45571.0</v>
      </c>
      <c r="B12" s="2" t="s">
        <v>34</v>
      </c>
      <c r="C12" s="2" t="s">
        <v>49</v>
      </c>
      <c r="D12" s="6">
        <v>1753.0</v>
      </c>
      <c r="E12" s="6">
        <v>5.0</v>
      </c>
      <c r="F12" s="7">
        <v>8765.0</v>
      </c>
      <c r="G12" s="2" t="s">
        <v>50</v>
      </c>
      <c r="H12" s="2" t="s">
        <v>51</v>
      </c>
      <c r="I12" s="2" t="s">
        <v>52</v>
      </c>
    </row>
    <row r="13" ht="15.75" customHeight="1">
      <c r="A13" s="1">
        <v>45572.0</v>
      </c>
      <c r="B13" s="3" t="s">
        <v>29</v>
      </c>
      <c r="C13" s="2" t="s">
        <v>53</v>
      </c>
      <c r="D13" s="6">
        <v>370.25</v>
      </c>
      <c r="E13" s="6">
        <v>4.0</v>
      </c>
      <c r="F13" s="7">
        <v>1481.0</v>
      </c>
      <c r="G13" s="2" t="s">
        <v>54</v>
      </c>
      <c r="H13" s="2" t="s">
        <v>55</v>
      </c>
      <c r="I13" s="2" t="s">
        <v>56</v>
      </c>
    </row>
    <row r="14" ht="15.75" customHeight="1">
      <c r="A14" s="1">
        <v>45572.0</v>
      </c>
      <c r="B14" s="2" t="s">
        <v>57</v>
      </c>
      <c r="C14" s="2" t="s">
        <v>58</v>
      </c>
      <c r="D14" s="6">
        <v>62.73</v>
      </c>
      <c r="E14" s="6">
        <v>3.0</v>
      </c>
      <c r="F14" s="7">
        <v>188.19</v>
      </c>
      <c r="G14" s="2" t="s">
        <v>59</v>
      </c>
      <c r="H14" s="2" t="s">
        <v>60</v>
      </c>
      <c r="I14" s="2" t="s">
        <v>61</v>
      </c>
    </row>
    <row r="15" ht="15.75" customHeight="1">
      <c r="A15" s="1">
        <v>45573.0</v>
      </c>
      <c r="B15" s="2" t="s">
        <v>34</v>
      </c>
      <c r="C15" s="2" t="s">
        <v>62</v>
      </c>
      <c r="D15" s="6">
        <v>2314.37</v>
      </c>
      <c r="E15" s="6">
        <v>5.0</v>
      </c>
      <c r="F15" s="7">
        <v>11571.85</v>
      </c>
      <c r="G15" s="2" t="s">
        <v>63</v>
      </c>
      <c r="H15" s="2" t="s">
        <v>64</v>
      </c>
      <c r="I15" s="2" t="s">
        <v>65</v>
      </c>
    </row>
    <row r="16" ht="15.75" customHeight="1">
      <c r="A16" s="1">
        <v>45573.0</v>
      </c>
      <c r="B16" s="2" t="s">
        <v>34</v>
      </c>
      <c r="C16" s="2" t="s">
        <v>66</v>
      </c>
      <c r="D16" s="6">
        <v>2168.25</v>
      </c>
      <c r="E16" s="6">
        <v>3.0</v>
      </c>
      <c r="F16" s="7">
        <v>6504.75</v>
      </c>
      <c r="G16" s="2" t="s">
        <v>67</v>
      </c>
      <c r="H16" s="2" t="s">
        <v>68</v>
      </c>
      <c r="I16" s="2" t="s">
        <v>69</v>
      </c>
    </row>
    <row r="17" ht="15.75" customHeight="1">
      <c r="A17" s="1">
        <v>45574.0</v>
      </c>
      <c r="B17" s="3" t="s">
        <v>14</v>
      </c>
      <c r="C17" s="2" t="s">
        <v>70</v>
      </c>
      <c r="D17" s="6">
        <v>120.46</v>
      </c>
      <c r="E17" s="6">
        <v>1.0</v>
      </c>
      <c r="F17" s="7">
        <v>120.46</v>
      </c>
      <c r="G17" s="2" t="s">
        <v>71</v>
      </c>
      <c r="H17" s="2" t="s">
        <v>72</v>
      </c>
      <c r="I17" s="2" t="s">
        <v>73</v>
      </c>
    </row>
    <row r="18" ht="15.75" customHeight="1">
      <c r="A18" s="1">
        <v>45574.0</v>
      </c>
      <c r="B18" s="3" t="s">
        <v>74</v>
      </c>
      <c r="C18" s="2" t="s">
        <v>75</v>
      </c>
      <c r="D18" s="6">
        <v>525.13</v>
      </c>
      <c r="E18" s="6">
        <v>2.0</v>
      </c>
      <c r="F18" s="7">
        <v>1050.26</v>
      </c>
      <c r="G18" s="2" t="s">
        <v>76</v>
      </c>
      <c r="H18" s="2" t="s">
        <v>77</v>
      </c>
      <c r="I18" s="2" t="s">
        <v>78</v>
      </c>
    </row>
    <row r="19" ht="15.75" customHeight="1">
      <c r="A19" s="1">
        <v>45575.0</v>
      </c>
      <c r="B19" s="3" t="s">
        <v>14</v>
      </c>
      <c r="C19" s="2" t="s">
        <v>79</v>
      </c>
      <c r="D19" s="6">
        <v>278.37</v>
      </c>
      <c r="E19" s="6">
        <v>3.0</v>
      </c>
      <c r="F19" s="7">
        <v>835.11</v>
      </c>
      <c r="G19" s="3" t="s">
        <v>80</v>
      </c>
      <c r="H19" s="2" t="s">
        <v>81</v>
      </c>
      <c r="I19" s="2" t="s">
        <v>82</v>
      </c>
    </row>
    <row r="20" ht="15.75" customHeight="1">
      <c r="A20" s="1">
        <v>45575.0</v>
      </c>
      <c r="B20" s="2" t="s">
        <v>34</v>
      </c>
      <c r="C20" s="2" t="s">
        <v>83</v>
      </c>
      <c r="D20" s="6">
        <v>157.57</v>
      </c>
      <c r="E20" s="6">
        <v>2.0</v>
      </c>
      <c r="F20" s="7">
        <v>315.14</v>
      </c>
      <c r="G20" s="2" t="s">
        <v>84</v>
      </c>
      <c r="H20" s="2" t="s">
        <v>85</v>
      </c>
      <c r="I20" s="2" t="s">
        <v>86</v>
      </c>
    </row>
    <row r="21" ht="15.75" customHeight="1">
      <c r="A21" s="5">
        <v>45575.0</v>
      </c>
      <c r="B21" s="3" t="s">
        <v>87</v>
      </c>
      <c r="C21" s="2" t="s">
        <v>88</v>
      </c>
      <c r="D21" s="6">
        <v>981.62</v>
      </c>
      <c r="E21" s="6">
        <v>5.0</v>
      </c>
      <c r="F21" s="7">
        <v>4908.1</v>
      </c>
      <c r="G21" s="2" t="s">
        <v>89</v>
      </c>
      <c r="H21" s="2" t="s">
        <v>90</v>
      </c>
      <c r="I21" s="2" t="s">
        <v>91</v>
      </c>
    </row>
    <row r="22" ht="15.75" customHeight="1">
      <c r="A22" s="1">
        <v>45575.0</v>
      </c>
      <c r="B22" s="3" t="s">
        <v>29</v>
      </c>
      <c r="C22" s="2" t="s">
        <v>92</v>
      </c>
      <c r="D22" s="6">
        <v>646.22</v>
      </c>
      <c r="E22" s="6">
        <v>2.0</v>
      </c>
      <c r="F22" s="7">
        <v>1292.44</v>
      </c>
      <c r="G22" s="2" t="s">
        <v>93</v>
      </c>
      <c r="H22" s="2" t="s">
        <v>94</v>
      </c>
      <c r="I22" s="2" t="s">
        <v>95</v>
      </c>
    </row>
    <row r="23" ht="15.75" customHeight="1">
      <c r="A23" s="1">
        <v>45575.0</v>
      </c>
      <c r="B23" s="2" t="s">
        <v>57</v>
      </c>
      <c r="C23" s="2" t="s">
        <v>35</v>
      </c>
      <c r="D23" s="6">
        <v>1848.98</v>
      </c>
      <c r="E23" s="6">
        <v>3.0</v>
      </c>
      <c r="F23" s="7">
        <v>5546.94</v>
      </c>
      <c r="G23" s="2" t="s">
        <v>96</v>
      </c>
      <c r="H23" s="2" t="s">
        <v>97</v>
      </c>
      <c r="I23" s="2" t="s">
        <v>98</v>
      </c>
    </row>
    <row r="24" ht="15.75" customHeight="1">
      <c r="A24" s="1">
        <v>45575.0</v>
      </c>
      <c r="B24" s="3" t="s">
        <v>74</v>
      </c>
      <c r="C24" s="2" t="s">
        <v>30</v>
      </c>
      <c r="D24" s="6">
        <v>1420.28</v>
      </c>
      <c r="E24" s="6">
        <v>4.0</v>
      </c>
      <c r="F24" s="7">
        <v>5681.12</v>
      </c>
      <c r="G24" s="2" t="s">
        <v>99</v>
      </c>
      <c r="H24" s="2" t="s">
        <v>100</v>
      </c>
      <c r="I24" s="2" t="s">
        <v>101</v>
      </c>
    </row>
    <row r="25" ht="15.75" customHeight="1">
      <c r="A25" s="1">
        <v>45576.0</v>
      </c>
      <c r="B25" s="2" t="s">
        <v>34</v>
      </c>
      <c r="C25" s="2" t="s">
        <v>70</v>
      </c>
      <c r="D25" s="6">
        <v>2208.12</v>
      </c>
      <c r="E25" s="6">
        <v>2.0</v>
      </c>
      <c r="F25" s="7">
        <v>4416.24</v>
      </c>
      <c r="G25" s="2" t="s">
        <v>102</v>
      </c>
      <c r="H25" s="2" t="s">
        <v>103</v>
      </c>
      <c r="I25" s="2" t="s">
        <v>104</v>
      </c>
    </row>
    <row r="26" ht="15.75" customHeight="1">
      <c r="A26" s="1">
        <v>45576.0</v>
      </c>
      <c r="B26" s="2" t="s">
        <v>34</v>
      </c>
      <c r="C26" s="2" t="s">
        <v>22</v>
      </c>
      <c r="D26" s="6">
        <v>591.94</v>
      </c>
      <c r="E26" s="6">
        <v>2.0</v>
      </c>
      <c r="F26" s="7">
        <v>1183.88</v>
      </c>
      <c r="G26" s="2" t="s">
        <v>105</v>
      </c>
      <c r="H26" s="2" t="s">
        <v>106</v>
      </c>
      <c r="I26" s="2" t="s">
        <v>107</v>
      </c>
    </row>
    <row r="27" ht="15.75" customHeight="1">
      <c r="A27" s="1">
        <v>45576.0</v>
      </c>
      <c r="B27" s="3" t="s">
        <v>9</v>
      </c>
      <c r="C27" s="2" t="s">
        <v>58</v>
      </c>
      <c r="D27" s="6">
        <v>1429.89</v>
      </c>
      <c r="E27" s="6">
        <v>4.0</v>
      </c>
      <c r="F27" s="7">
        <v>5719.56</v>
      </c>
      <c r="G27" s="2" t="s">
        <v>108</v>
      </c>
      <c r="H27" s="2" t="s">
        <v>109</v>
      </c>
      <c r="I27" s="2" t="s">
        <v>110</v>
      </c>
    </row>
    <row r="28" ht="15.75" customHeight="1">
      <c r="A28" s="1">
        <v>45576.0</v>
      </c>
      <c r="B28" s="2" t="s">
        <v>34</v>
      </c>
      <c r="C28" s="2" t="s">
        <v>39</v>
      </c>
      <c r="D28" s="6">
        <v>2085.29</v>
      </c>
      <c r="E28" s="6">
        <v>1.0</v>
      </c>
      <c r="F28" s="7">
        <v>2085.29</v>
      </c>
      <c r="G28" s="2" t="s">
        <v>111</v>
      </c>
      <c r="H28" s="2" t="s">
        <v>112</v>
      </c>
      <c r="I28" s="8" t="s">
        <v>113</v>
      </c>
    </row>
    <row r="29" ht="15.75" customHeight="1">
      <c r="A29" s="1">
        <v>45576.0</v>
      </c>
      <c r="B29" s="2" t="s">
        <v>114</v>
      </c>
      <c r="C29" s="2" t="s">
        <v>115</v>
      </c>
      <c r="D29" s="6">
        <v>724.28</v>
      </c>
      <c r="E29" s="6">
        <v>3.0</v>
      </c>
      <c r="F29" s="7">
        <v>2172.84</v>
      </c>
      <c r="G29" s="2" t="s">
        <v>116</v>
      </c>
      <c r="H29" s="2" t="s">
        <v>117</v>
      </c>
      <c r="I29" s="2" t="s">
        <v>118</v>
      </c>
    </row>
    <row r="30" ht="15.75" customHeight="1">
      <c r="A30" s="1">
        <v>45576.0</v>
      </c>
      <c r="B30" s="3" t="s">
        <v>74</v>
      </c>
      <c r="C30" s="2" t="s">
        <v>119</v>
      </c>
      <c r="D30" s="6">
        <v>1859.58</v>
      </c>
      <c r="E30" s="6">
        <v>3.0</v>
      </c>
      <c r="F30" s="7">
        <v>5578.74</v>
      </c>
      <c r="G30" s="2" t="s">
        <v>120</v>
      </c>
      <c r="H30" s="2" t="s">
        <v>121</v>
      </c>
      <c r="I30" s="2" t="s">
        <v>122</v>
      </c>
    </row>
    <row r="31" ht="15.75" customHeight="1">
      <c r="A31" s="1">
        <v>45576.0</v>
      </c>
      <c r="B31" s="2" t="s">
        <v>34</v>
      </c>
      <c r="C31" s="2" t="s">
        <v>123</v>
      </c>
      <c r="D31" s="6">
        <v>218.17</v>
      </c>
      <c r="E31" s="6">
        <v>4.0</v>
      </c>
      <c r="F31" s="7">
        <v>872.68</v>
      </c>
      <c r="G31" s="2" t="s">
        <v>124</v>
      </c>
      <c r="H31" s="2" t="s">
        <v>125</v>
      </c>
      <c r="I31" s="2" t="s">
        <v>126</v>
      </c>
    </row>
    <row r="32" ht="15.75" customHeight="1">
      <c r="A32" s="1">
        <v>45576.0</v>
      </c>
      <c r="B32" s="3" t="s">
        <v>29</v>
      </c>
      <c r="C32" s="2" t="s">
        <v>35</v>
      </c>
      <c r="D32" s="6">
        <v>1375.85</v>
      </c>
      <c r="E32" s="6">
        <v>1.0</v>
      </c>
      <c r="F32" s="7">
        <v>1375.85</v>
      </c>
      <c r="G32" s="2" t="s">
        <v>127</v>
      </c>
      <c r="H32" s="2" t="s">
        <v>128</v>
      </c>
      <c r="I32" s="2" t="s">
        <v>129</v>
      </c>
    </row>
    <row r="33" ht="15.75" customHeight="1">
      <c r="A33" s="1">
        <v>45576.0</v>
      </c>
      <c r="B33" s="2" t="s">
        <v>57</v>
      </c>
      <c r="C33" s="2" t="s">
        <v>130</v>
      </c>
      <c r="D33" s="6">
        <v>421.59</v>
      </c>
      <c r="E33" s="6">
        <v>2.0</v>
      </c>
      <c r="F33" s="7">
        <v>843.18</v>
      </c>
      <c r="G33" s="2" t="s">
        <v>131</v>
      </c>
      <c r="H33" s="2" t="s">
        <v>132</v>
      </c>
      <c r="I33" s="2" t="s">
        <v>133</v>
      </c>
    </row>
    <row r="34" ht="15.75" customHeight="1">
      <c r="A34" s="1">
        <v>45576.0</v>
      </c>
      <c r="B34" s="3" t="s">
        <v>9</v>
      </c>
      <c r="C34" s="2" t="s">
        <v>75</v>
      </c>
      <c r="D34" s="6">
        <v>2288.18</v>
      </c>
      <c r="E34" s="6">
        <v>1.0</v>
      </c>
      <c r="F34" s="7">
        <v>2288.18</v>
      </c>
      <c r="G34" s="2" t="s">
        <v>134</v>
      </c>
      <c r="H34" s="2" t="s">
        <v>135</v>
      </c>
      <c r="I34" s="2" t="s">
        <v>136</v>
      </c>
    </row>
    <row r="35" ht="15.75" customHeight="1">
      <c r="A35" s="1">
        <v>45576.0</v>
      </c>
      <c r="B35" s="3" t="s">
        <v>9</v>
      </c>
      <c r="C35" s="2" t="s">
        <v>137</v>
      </c>
      <c r="D35" s="6">
        <v>1699.32</v>
      </c>
      <c r="E35" s="6">
        <v>4.0</v>
      </c>
      <c r="F35" s="7">
        <v>6797.28</v>
      </c>
      <c r="G35" s="2" t="s">
        <v>138</v>
      </c>
      <c r="H35" s="2" t="s">
        <v>139</v>
      </c>
      <c r="I35" s="2" t="s">
        <v>140</v>
      </c>
    </row>
    <row r="36" ht="15.75" customHeight="1">
      <c r="A36" s="1">
        <v>45576.0</v>
      </c>
      <c r="B36" s="3" t="s">
        <v>74</v>
      </c>
      <c r="C36" s="2" t="s">
        <v>75</v>
      </c>
      <c r="D36" s="6">
        <v>1578.34</v>
      </c>
      <c r="E36" s="6">
        <v>3.0</v>
      </c>
      <c r="F36" s="7">
        <v>4735.02</v>
      </c>
      <c r="G36" s="2" t="s">
        <v>141</v>
      </c>
      <c r="H36" s="2" t="s">
        <v>142</v>
      </c>
      <c r="I36" s="2" t="s">
        <v>143</v>
      </c>
    </row>
    <row r="37" ht="15.75" customHeight="1">
      <c r="A37" s="1">
        <v>45577.0</v>
      </c>
      <c r="B37" s="3" t="s">
        <v>14</v>
      </c>
      <c r="C37" s="2" t="s">
        <v>144</v>
      </c>
      <c r="D37" s="6">
        <v>1445.1</v>
      </c>
      <c r="E37" s="6">
        <v>4.0</v>
      </c>
      <c r="F37" s="7">
        <v>5780.4</v>
      </c>
      <c r="G37" s="2" t="s">
        <v>145</v>
      </c>
      <c r="H37" s="2" t="s">
        <v>146</v>
      </c>
      <c r="I37" s="2" t="s">
        <v>147</v>
      </c>
    </row>
    <row r="38" ht="15.75" customHeight="1">
      <c r="A38" s="1">
        <v>45577.0</v>
      </c>
      <c r="B38" s="2" t="s">
        <v>57</v>
      </c>
      <c r="C38" s="2" t="s">
        <v>58</v>
      </c>
      <c r="D38" s="6">
        <v>1065.52</v>
      </c>
      <c r="E38" s="6">
        <v>2.0</v>
      </c>
      <c r="F38" s="7">
        <v>2131.04</v>
      </c>
      <c r="G38" s="2" t="s">
        <v>148</v>
      </c>
      <c r="H38" s="2" t="s">
        <v>149</v>
      </c>
      <c r="I38" s="2" t="s">
        <v>150</v>
      </c>
    </row>
    <row r="39" ht="15.75" customHeight="1">
      <c r="A39" s="1">
        <v>45577.0</v>
      </c>
      <c r="B39" s="3" t="s">
        <v>29</v>
      </c>
      <c r="C39" s="2" t="s">
        <v>151</v>
      </c>
      <c r="D39" s="6">
        <v>2095.66</v>
      </c>
      <c r="E39" s="6">
        <v>5.0</v>
      </c>
      <c r="F39" s="7">
        <v>10478.3</v>
      </c>
      <c r="G39" s="2" t="s">
        <v>152</v>
      </c>
      <c r="H39" s="2" t="s">
        <v>153</v>
      </c>
      <c r="I39" s="2" t="s">
        <v>154</v>
      </c>
    </row>
    <row r="40" ht="15.75" customHeight="1">
      <c r="A40" s="1">
        <v>45577.0</v>
      </c>
      <c r="B40" s="2" t="s">
        <v>57</v>
      </c>
      <c r="C40" s="2" t="s">
        <v>22</v>
      </c>
      <c r="D40" s="6">
        <v>2215.63</v>
      </c>
      <c r="E40" s="6">
        <v>3.0</v>
      </c>
      <c r="F40" s="7">
        <v>6646.89</v>
      </c>
      <c r="G40" s="2" t="s">
        <v>155</v>
      </c>
      <c r="H40" s="2" t="s">
        <v>156</v>
      </c>
      <c r="I40" s="2" t="s">
        <v>157</v>
      </c>
    </row>
    <row r="41" ht="15.75" customHeight="1">
      <c r="A41" s="1">
        <v>45577.0</v>
      </c>
      <c r="B41" s="3" t="s">
        <v>14</v>
      </c>
      <c r="C41" s="2" t="s">
        <v>66</v>
      </c>
      <c r="D41" s="6">
        <v>2395.85</v>
      </c>
      <c r="E41" s="6">
        <v>4.0</v>
      </c>
      <c r="F41" s="7">
        <v>9583.4</v>
      </c>
      <c r="G41" s="2" t="s">
        <v>158</v>
      </c>
      <c r="H41" s="2" t="s">
        <v>159</v>
      </c>
      <c r="I41" s="2" t="s">
        <v>160</v>
      </c>
    </row>
    <row r="42" ht="15.75" customHeight="1">
      <c r="A42" s="1">
        <v>45577.0</v>
      </c>
      <c r="B42" s="2" t="s">
        <v>57</v>
      </c>
      <c r="C42" s="2" t="s">
        <v>161</v>
      </c>
      <c r="D42" s="6">
        <v>883.61</v>
      </c>
      <c r="E42" s="6">
        <v>2.0</v>
      </c>
      <c r="F42" s="7">
        <v>1767.22</v>
      </c>
      <c r="G42" s="3" t="s">
        <v>162</v>
      </c>
      <c r="H42" s="2" t="s">
        <v>163</v>
      </c>
      <c r="I42" s="2" t="s">
        <v>164</v>
      </c>
    </row>
    <row r="43" ht="15.75" customHeight="1">
      <c r="A43" s="1">
        <v>45577.0</v>
      </c>
      <c r="B43" s="3" t="s">
        <v>74</v>
      </c>
      <c r="C43" s="2" t="s">
        <v>165</v>
      </c>
      <c r="D43" s="6">
        <v>1277.75</v>
      </c>
      <c r="E43" s="6">
        <v>1.0</v>
      </c>
      <c r="F43" s="7">
        <v>1277.75</v>
      </c>
      <c r="G43" s="2" t="s">
        <v>166</v>
      </c>
      <c r="H43" s="2" t="s">
        <v>167</v>
      </c>
      <c r="I43" s="2" t="s">
        <v>168</v>
      </c>
    </row>
    <row r="44" ht="15.75" customHeight="1">
      <c r="A44" s="1">
        <v>45577.0</v>
      </c>
      <c r="B44" s="2" t="s">
        <v>57</v>
      </c>
      <c r="C44" s="2" t="s">
        <v>169</v>
      </c>
      <c r="D44" s="6">
        <v>2182.77</v>
      </c>
      <c r="E44" s="6">
        <v>3.0</v>
      </c>
      <c r="F44" s="7">
        <v>6548.31</v>
      </c>
      <c r="G44" s="2" t="s">
        <v>170</v>
      </c>
      <c r="H44" s="2" t="s">
        <v>171</v>
      </c>
      <c r="I44" s="2" t="s">
        <v>172</v>
      </c>
    </row>
    <row r="45" ht="15.75" customHeight="1">
      <c r="A45" s="1">
        <v>45577.0</v>
      </c>
      <c r="B45" s="3" t="s">
        <v>14</v>
      </c>
      <c r="C45" s="2" t="s">
        <v>58</v>
      </c>
      <c r="D45" s="6">
        <v>1163.04</v>
      </c>
      <c r="E45" s="6">
        <v>1.0</v>
      </c>
      <c r="F45" s="7">
        <v>1163.04</v>
      </c>
      <c r="G45" s="2" t="s">
        <v>173</v>
      </c>
      <c r="H45" s="2" t="s">
        <v>174</v>
      </c>
      <c r="I45" s="2" t="s">
        <v>175</v>
      </c>
    </row>
    <row r="46" ht="15.75" customHeight="1">
      <c r="A46" s="1">
        <v>45578.0</v>
      </c>
      <c r="B46" s="3" t="s">
        <v>9</v>
      </c>
      <c r="C46" s="2" t="s">
        <v>92</v>
      </c>
      <c r="D46" s="6">
        <v>1664.18</v>
      </c>
      <c r="E46" s="6">
        <v>3.0</v>
      </c>
      <c r="F46" s="7">
        <v>4992.54</v>
      </c>
      <c r="G46" s="2" t="s">
        <v>176</v>
      </c>
      <c r="H46" s="2" t="s">
        <v>177</v>
      </c>
      <c r="I46" s="2" t="s">
        <v>178</v>
      </c>
    </row>
    <row r="47" ht="15.75" customHeight="1">
      <c r="A47" s="1">
        <v>45578.0</v>
      </c>
      <c r="B47" s="3" t="s">
        <v>74</v>
      </c>
      <c r="C47" s="2" t="s">
        <v>179</v>
      </c>
      <c r="D47" s="6">
        <v>992.68</v>
      </c>
      <c r="E47" s="6">
        <v>5.0</v>
      </c>
      <c r="F47" s="7">
        <v>4963.4</v>
      </c>
      <c r="G47" s="2" t="s">
        <v>180</v>
      </c>
      <c r="H47" s="2" t="s">
        <v>181</v>
      </c>
      <c r="I47" s="2" t="s">
        <v>182</v>
      </c>
    </row>
    <row r="48" ht="15.75" customHeight="1">
      <c r="A48" s="1">
        <v>45578.0</v>
      </c>
      <c r="B48" s="2" t="s">
        <v>57</v>
      </c>
      <c r="C48" s="2" t="s">
        <v>183</v>
      </c>
      <c r="D48" s="6">
        <v>284.79</v>
      </c>
      <c r="E48" s="6">
        <v>5.0</v>
      </c>
      <c r="F48" s="7">
        <v>1423.95</v>
      </c>
      <c r="G48" s="2" t="s">
        <v>184</v>
      </c>
      <c r="H48" s="2" t="s">
        <v>185</v>
      </c>
      <c r="I48" s="2" t="s">
        <v>186</v>
      </c>
    </row>
    <row r="49" ht="15.75" customHeight="1">
      <c r="A49" s="1">
        <v>45578.0</v>
      </c>
      <c r="B49" s="3" t="s">
        <v>9</v>
      </c>
      <c r="C49" s="2" t="s">
        <v>187</v>
      </c>
      <c r="D49" s="2"/>
      <c r="E49" s="6">
        <v>3.0</v>
      </c>
      <c r="F49" s="7">
        <v>1086.51</v>
      </c>
      <c r="G49" s="2" t="s">
        <v>188</v>
      </c>
      <c r="H49" s="2" t="s">
        <v>189</v>
      </c>
      <c r="I49" s="2" t="s">
        <v>190</v>
      </c>
    </row>
    <row r="50" ht="15.75" customHeight="1">
      <c r="A50" s="1">
        <v>45578.0</v>
      </c>
      <c r="B50" s="2" t="s">
        <v>57</v>
      </c>
      <c r="C50" s="2" t="s">
        <v>53</v>
      </c>
      <c r="D50" s="6">
        <v>1274.8</v>
      </c>
      <c r="E50" s="6">
        <v>5.0</v>
      </c>
      <c r="F50" s="7">
        <v>6374.0</v>
      </c>
      <c r="G50" s="2" t="s">
        <v>191</v>
      </c>
      <c r="H50" s="2" t="s">
        <v>192</v>
      </c>
      <c r="I50" s="2" t="s">
        <v>193</v>
      </c>
    </row>
    <row r="51" ht="15.75" customHeight="1">
      <c r="A51" s="1">
        <v>45578.0</v>
      </c>
      <c r="B51" s="2" t="s">
        <v>57</v>
      </c>
      <c r="C51" s="2" t="s">
        <v>35</v>
      </c>
      <c r="D51" s="6">
        <v>233.85</v>
      </c>
      <c r="E51" s="6">
        <v>4.0</v>
      </c>
      <c r="F51" s="7">
        <v>935.4</v>
      </c>
      <c r="G51" s="2" t="s">
        <v>194</v>
      </c>
      <c r="H51" s="2" t="s">
        <v>195</v>
      </c>
      <c r="I51" s="2" t="s">
        <v>196</v>
      </c>
    </row>
    <row r="52" ht="15.75" customHeight="1">
      <c r="A52" s="1">
        <v>45578.0</v>
      </c>
      <c r="B52" s="3" t="s">
        <v>29</v>
      </c>
      <c r="C52" s="2" t="s">
        <v>15</v>
      </c>
      <c r="D52" s="6">
        <v>142.14</v>
      </c>
      <c r="E52" s="6">
        <v>3.0</v>
      </c>
      <c r="F52" s="7">
        <v>426.42</v>
      </c>
      <c r="G52" s="2" t="s">
        <v>197</v>
      </c>
      <c r="H52" s="2" t="s">
        <v>198</v>
      </c>
      <c r="I52" s="2" t="s">
        <v>199</v>
      </c>
    </row>
    <row r="53" ht="15.75" customHeight="1">
      <c r="A53" s="1">
        <v>45578.0</v>
      </c>
      <c r="B53" s="2" t="s">
        <v>34</v>
      </c>
      <c r="C53" s="2" t="s">
        <v>119</v>
      </c>
      <c r="D53" s="6">
        <v>226.52</v>
      </c>
      <c r="E53" s="6">
        <v>2.0</v>
      </c>
      <c r="F53" s="7">
        <v>453.04</v>
      </c>
      <c r="G53" s="2" t="s">
        <v>200</v>
      </c>
      <c r="H53" s="2" t="s">
        <v>201</v>
      </c>
      <c r="I53" s="2" t="s">
        <v>202</v>
      </c>
    </row>
    <row r="54" ht="15.75" customHeight="1">
      <c r="A54" s="1">
        <v>45578.0</v>
      </c>
      <c r="B54" s="3" t="s">
        <v>29</v>
      </c>
      <c r="C54" s="2" t="s">
        <v>75</v>
      </c>
      <c r="D54" s="6">
        <v>1922.79</v>
      </c>
      <c r="E54" s="6">
        <v>3.0</v>
      </c>
      <c r="F54" s="7">
        <v>5768.37</v>
      </c>
      <c r="G54" s="2" t="s">
        <v>203</v>
      </c>
      <c r="H54" s="2" t="s">
        <v>204</v>
      </c>
      <c r="I54" s="2" t="s">
        <v>205</v>
      </c>
    </row>
    <row r="55" ht="15.75" customHeight="1">
      <c r="A55" s="1">
        <v>45578.0</v>
      </c>
      <c r="B55" s="3" t="s">
        <v>14</v>
      </c>
      <c r="C55" s="2" t="s">
        <v>130</v>
      </c>
      <c r="D55" s="2"/>
      <c r="E55" s="6">
        <v>2.0</v>
      </c>
      <c r="F55" s="7">
        <v>4429.96</v>
      </c>
      <c r="G55" s="2" t="s">
        <v>206</v>
      </c>
      <c r="H55" s="2" t="s">
        <v>207</v>
      </c>
      <c r="I55" s="2" t="s">
        <v>208</v>
      </c>
    </row>
    <row r="56" ht="15.75" customHeight="1">
      <c r="A56" s="1">
        <v>45579.0</v>
      </c>
      <c r="B56" s="3" t="s">
        <v>14</v>
      </c>
      <c r="C56" s="2" t="s">
        <v>187</v>
      </c>
      <c r="D56" s="6">
        <v>120.94</v>
      </c>
      <c r="E56" s="6">
        <v>3.0</v>
      </c>
      <c r="F56" s="4"/>
      <c r="G56" s="2" t="s">
        <v>209</v>
      </c>
      <c r="H56" s="2" t="s">
        <v>210</v>
      </c>
      <c r="I56" s="2" t="s">
        <v>211</v>
      </c>
    </row>
    <row r="57" ht="15.75" customHeight="1">
      <c r="A57" s="1">
        <v>45579.0</v>
      </c>
      <c r="B57" s="2" t="s">
        <v>34</v>
      </c>
      <c r="C57" s="2" t="s">
        <v>92</v>
      </c>
      <c r="D57" s="6">
        <v>1950.45</v>
      </c>
      <c r="E57" s="6">
        <v>4.0</v>
      </c>
      <c r="F57" s="7">
        <v>7801.8</v>
      </c>
      <c r="G57" s="2" t="s">
        <v>212</v>
      </c>
      <c r="H57" s="2" t="s">
        <v>213</v>
      </c>
      <c r="I57" s="2" t="s">
        <v>214</v>
      </c>
    </row>
    <row r="58" ht="15.75" customHeight="1">
      <c r="A58" s="1">
        <v>45579.0</v>
      </c>
      <c r="B58" s="3" t="s">
        <v>14</v>
      </c>
      <c r="C58" s="2" t="s">
        <v>215</v>
      </c>
      <c r="D58" s="6">
        <v>2092.55</v>
      </c>
      <c r="E58" s="6">
        <v>5.0</v>
      </c>
      <c r="F58" s="7">
        <v>10462.75</v>
      </c>
      <c r="G58" s="2" t="s">
        <v>216</v>
      </c>
      <c r="H58" s="2" t="s">
        <v>217</v>
      </c>
      <c r="I58" s="2" t="s">
        <v>218</v>
      </c>
    </row>
    <row r="59" ht="15.75" customHeight="1">
      <c r="A59" s="1">
        <v>45579.0</v>
      </c>
      <c r="B59" s="2" t="s">
        <v>34</v>
      </c>
      <c r="C59" s="2" t="s">
        <v>10</v>
      </c>
      <c r="D59" s="6">
        <v>214.72</v>
      </c>
      <c r="E59" s="6">
        <v>3.0</v>
      </c>
      <c r="F59" s="7">
        <v>644.16</v>
      </c>
      <c r="G59" s="2" t="s">
        <v>219</v>
      </c>
      <c r="H59" s="2" t="s">
        <v>220</v>
      </c>
      <c r="I59" s="2" t="s">
        <v>221</v>
      </c>
    </row>
    <row r="60" ht="15.75" customHeight="1">
      <c r="A60" s="1">
        <v>45579.0</v>
      </c>
      <c r="B60" s="2" t="s">
        <v>57</v>
      </c>
      <c r="C60" s="2" t="s">
        <v>222</v>
      </c>
      <c r="D60" s="6">
        <v>1291.39</v>
      </c>
      <c r="E60" s="6">
        <v>3.0</v>
      </c>
      <c r="F60" s="7">
        <v>3874.17</v>
      </c>
      <c r="G60" s="2" t="s">
        <v>223</v>
      </c>
      <c r="H60" s="2" t="s">
        <v>224</v>
      </c>
      <c r="I60" s="2" t="s">
        <v>225</v>
      </c>
    </row>
    <row r="61" ht="15.75" customHeight="1">
      <c r="A61" s="1">
        <v>45579.0</v>
      </c>
      <c r="B61" s="3" t="s">
        <v>29</v>
      </c>
      <c r="C61" s="2" t="s">
        <v>226</v>
      </c>
      <c r="D61" s="6">
        <v>970.38</v>
      </c>
      <c r="E61" s="6">
        <v>5.0</v>
      </c>
      <c r="F61" s="7">
        <v>4851.9</v>
      </c>
      <c r="G61" s="2" t="s">
        <v>227</v>
      </c>
      <c r="H61" s="2" t="s">
        <v>228</v>
      </c>
      <c r="I61" s="2" t="s">
        <v>229</v>
      </c>
    </row>
    <row r="62" ht="15.75" customHeight="1">
      <c r="A62" s="1">
        <v>45579.0</v>
      </c>
      <c r="B62" s="3" t="s">
        <v>74</v>
      </c>
      <c r="C62" s="2" t="s">
        <v>230</v>
      </c>
      <c r="D62" s="6">
        <v>2101.48</v>
      </c>
      <c r="E62" s="6">
        <v>2.0</v>
      </c>
      <c r="F62" s="7">
        <v>4202.96</v>
      </c>
      <c r="G62" s="2" t="s">
        <v>231</v>
      </c>
      <c r="H62" s="2" t="s">
        <v>232</v>
      </c>
      <c r="I62" s="2" t="s">
        <v>233</v>
      </c>
    </row>
    <row r="63" ht="15.75" customHeight="1">
      <c r="A63" s="1">
        <v>45579.0</v>
      </c>
      <c r="B63" s="3" t="s">
        <v>14</v>
      </c>
      <c r="C63" s="2" t="s">
        <v>62</v>
      </c>
      <c r="D63" s="6">
        <v>302.84</v>
      </c>
      <c r="E63" s="6">
        <v>3.0</v>
      </c>
      <c r="F63" s="7">
        <v>908.52</v>
      </c>
      <c r="G63" s="2" t="s">
        <v>234</v>
      </c>
      <c r="H63" s="2" t="s">
        <v>235</v>
      </c>
      <c r="I63" s="2" t="s">
        <v>236</v>
      </c>
    </row>
    <row r="64" ht="15.75" customHeight="1">
      <c r="A64" s="1">
        <v>45579.0</v>
      </c>
      <c r="B64" s="3" t="s">
        <v>9</v>
      </c>
      <c r="C64" s="2" t="s">
        <v>15</v>
      </c>
      <c r="D64" s="6">
        <v>1421.57</v>
      </c>
      <c r="E64" s="6">
        <v>4.0</v>
      </c>
      <c r="F64" s="7">
        <v>5686.28</v>
      </c>
      <c r="G64" s="2" t="s">
        <v>237</v>
      </c>
      <c r="H64" s="2" t="s">
        <v>238</v>
      </c>
      <c r="I64" s="2" t="s">
        <v>239</v>
      </c>
    </row>
    <row r="65" ht="15.75" customHeight="1">
      <c r="A65" s="1">
        <v>45579.0</v>
      </c>
      <c r="B65" s="3" t="s">
        <v>9</v>
      </c>
      <c r="C65" s="2" t="s">
        <v>92</v>
      </c>
      <c r="D65" s="6">
        <v>1037.64</v>
      </c>
      <c r="E65" s="6">
        <v>3.0</v>
      </c>
      <c r="F65" s="7">
        <v>3112.92</v>
      </c>
      <c r="G65" s="2" t="s">
        <v>240</v>
      </c>
      <c r="H65" s="2" t="s">
        <v>241</v>
      </c>
      <c r="I65" s="8" t="s">
        <v>242</v>
      </c>
    </row>
    <row r="66" ht="15.75" customHeight="1">
      <c r="A66" s="1">
        <v>45579.0</v>
      </c>
      <c r="B66" s="3" t="s">
        <v>9</v>
      </c>
      <c r="C66" s="2" t="s">
        <v>137</v>
      </c>
      <c r="D66" s="6">
        <v>579.54</v>
      </c>
      <c r="E66" s="6">
        <v>3.0</v>
      </c>
      <c r="F66" s="7">
        <v>1738.62</v>
      </c>
      <c r="G66" s="2" t="s">
        <v>243</v>
      </c>
      <c r="H66" s="2" t="s">
        <v>244</v>
      </c>
      <c r="I66" s="2" t="s">
        <v>245</v>
      </c>
    </row>
    <row r="67" ht="15.75" customHeight="1">
      <c r="A67" s="1">
        <v>45579.0</v>
      </c>
      <c r="B67" s="2" t="s">
        <v>34</v>
      </c>
      <c r="C67" s="2" t="s">
        <v>179</v>
      </c>
      <c r="D67" s="6">
        <v>796.49</v>
      </c>
      <c r="E67" s="6">
        <v>3.0</v>
      </c>
      <c r="F67" s="7">
        <v>2389.47</v>
      </c>
      <c r="G67" s="2" t="s">
        <v>246</v>
      </c>
      <c r="H67" s="2" t="s">
        <v>247</v>
      </c>
      <c r="I67" s="2" t="s">
        <v>248</v>
      </c>
    </row>
    <row r="68" ht="15.75" customHeight="1">
      <c r="A68" s="1">
        <v>45579.0</v>
      </c>
      <c r="B68" s="3" t="s">
        <v>14</v>
      </c>
      <c r="C68" s="2" t="s">
        <v>123</v>
      </c>
      <c r="D68" s="6">
        <v>1838.04</v>
      </c>
      <c r="E68" s="6">
        <v>4.0</v>
      </c>
      <c r="F68" s="7">
        <v>7352.16</v>
      </c>
      <c r="G68" s="2" t="s">
        <v>249</v>
      </c>
      <c r="H68" s="2" t="s">
        <v>250</v>
      </c>
      <c r="I68" s="2" t="s">
        <v>251</v>
      </c>
    </row>
    <row r="69" ht="15.75" customHeight="1">
      <c r="A69" s="1">
        <v>45580.0</v>
      </c>
      <c r="B69" s="3" t="s">
        <v>14</v>
      </c>
      <c r="C69" s="2" t="s">
        <v>252</v>
      </c>
      <c r="D69" s="6">
        <v>1090.69</v>
      </c>
      <c r="E69" s="6">
        <v>1.0</v>
      </c>
      <c r="F69" s="7">
        <v>1090.69</v>
      </c>
      <c r="G69" s="2" t="s">
        <v>253</v>
      </c>
      <c r="H69" s="2" t="s">
        <v>254</v>
      </c>
      <c r="I69" s="2" t="s">
        <v>255</v>
      </c>
    </row>
    <row r="70" ht="15.75" customHeight="1">
      <c r="A70" s="1">
        <v>45580.0</v>
      </c>
      <c r="B70" s="3" t="s">
        <v>9</v>
      </c>
      <c r="C70" s="2" t="s">
        <v>256</v>
      </c>
      <c r="D70" s="6">
        <v>882.55</v>
      </c>
      <c r="E70" s="6">
        <v>5.0</v>
      </c>
      <c r="F70" s="7">
        <v>4412.75</v>
      </c>
      <c r="G70" s="2" t="s">
        <v>257</v>
      </c>
      <c r="H70" s="2" t="s">
        <v>258</v>
      </c>
      <c r="I70" s="2" t="s">
        <v>259</v>
      </c>
    </row>
    <row r="71" ht="15.75" customHeight="1">
      <c r="A71" s="1">
        <v>45580.0</v>
      </c>
      <c r="B71" s="3" t="s">
        <v>29</v>
      </c>
      <c r="C71" s="2" t="s">
        <v>35</v>
      </c>
      <c r="D71" s="6">
        <v>1909.2</v>
      </c>
      <c r="E71" s="6">
        <v>3.0</v>
      </c>
      <c r="F71" s="7">
        <v>5727.6</v>
      </c>
      <c r="G71" s="2" t="s">
        <v>260</v>
      </c>
      <c r="H71" s="2" t="s">
        <v>261</v>
      </c>
      <c r="I71" s="2" t="s">
        <v>262</v>
      </c>
    </row>
    <row r="72" ht="15.75" customHeight="1">
      <c r="A72" s="1">
        <v>45580.0</v>
      </c>
      <c r="B72" s="3" t="s">
        <v>29</v>
      </c>
      <c r="C72" s="2" t="s">
        <v>49</v>
      </c>
      <c r="D72" s="6">
        <v>2381.87</v>
      </c>
      <c r="E72" s="6">
        <v>1.0</v>
      </c>
      <c r="F72" s="7">
        <v>2381.87</v>
      </c>
      <c r="G72" s="2" t="s">
        <v>263</v>
      </c>
      <c r="H72" s="2" t="s">
        <v>264</v>
      </c>
      <c r="I72" s="2" t="s">
        <v>265</v>
      </c>
    </row>
    <row r="73" ht="15.75" customHeight="1">
      <c r="A73" s="1">
        <v>45580.0</v>
      </c>
      <c r="B73" s="2" t="s">
        <v>34</v>
      </c>
      <c r="C73" s="2" t="s">
        <v>179</v>
      </c>
      <c r="D73" s="6">
        <v>68.0</v>
      </c>
      <c r="E73" s="6">
        <v>3.0</v>
      </c>
      <c r="F73" s="7">
        <v>204.0</v>
      </c>
      <c r="G73" s="2" t="s">
        <v>266</v>
      </c>
      <c r="H73" s="2" t="s">
        <v>267</v>
      </c>
      <c r="I73" s="2" t="s">
        <v>268</v>
      </c>
    </row>
    <row r="74" ht="15.75" customHeight="1">
      <c r="A74" s="1">
        <v>45580.0</v>
      </c>
      <c r="B74" s="3" t="s">
        <v>74</v>
      </c>
      <c r="C74" s="2" t="s">
        <v>269</v>
      </c>
      <c r="D74" s="6">
        <v>571.73</v>
      </c>
      <c r="E74" s="6">
        <v>4.0</v>
      </c>
      <c r="F74" s="7">
        <v>2286.92</v>
      </c>
      <c r="G74" s="2" t="s">
        <v>270</v>
      </c>
      <c r="H74" s="2" t="s">
        <v>271</v>
      </c>
      <c r="I74" s="2" t="s">
        <v>272</v>
      </c>
    </row>
    <row r="75" ht="15.75" customHeight="1">
      <c r="A75" s="1">
        <v>45580.0</v>
      </c>
      <c r="B75" s="3" t="s">
        <v>14</v>
      </c>
      <c r="C75" s="2" t="s">
        <v>15</v>
      </c>
      <c r="D75" s="6">
        <v>2009.75</v>
      </c>
      <c r="E75" s="6">
        <v>2.0</v>
      </c>
      <c r="F75" s="7">
        <v>4019.5</v>
      </c>
      <c r="G75" s="2" t="s">
        <v>273</v>
      </c>
      <c r="H75" s="2" t="s">
        <v>274</v>
      </c>
      <c r="I75" s="2" t="s">
        <v>275</v>
      </c>
    </row>
    <row r="76" ht="15.75" customHeight="1">
      <c r="A76" s="1">
        <v>45580.0</v>
      </c>
      <c r="B76" s="2" t="s">
        <v>57</v>
      </c>
      <c r="C76" s="2" t="s">
        <v>70</v>
      </c>
      <c r="D76" s="6">
        <v>2289.42</v>
      </c>
      <c r="E76" s="6">
        <v>4.0</v>
      </c>
      <c r="F76" s="7">
        <v>9157.68</v>
      </c>
      <c r="G76" s="2" t="s">
        <v>276</v>
      </c>
      <c r="H76" s="2" t="s">
        <v>277</v>
      </c>
      <c r="I76" s="2" t="s">
        <v>278</v>
      </c>
    </row>
    <row r="77" ht="15.75" customHeight="1">
      <c r="A77" s="1">
        <v>45580.0</v>
      </c>
      <c r="B77" s="3" t="s">
        <v>9</v>
      </c>
      <c r="C77" s="2" t="s">
        <v>279</v>
      </c>
      <c r="D77" s="6">
        <v>1414.97</v>
      </c>
      <c r="E77" s="6">
        <v>1.0</v>
      </c>
      <c r="F77" s="7">
        <v>1414.97</v>
      </c>
      <c r="G77" s="2" t="s">
        <v>280</v>
      </c>
      <c r="H77" s="2" t="s">
        <v>281</v>
      </c>
      <c r="I77" s="2" t="s">
        <v>282</v>
      </c>
    </row>
    <row r="78" ht="15.75" customHeight="1">
      <c r="A78" s="1">
        <v>45580.0</v>
      </c>
      <c r="B78" s="3" t="s">
        <v>74</v>
      </c>
      <c r="C78" s="2" t="s">
        <v>187</v>
      </c>
      <c r="D78" s="6">
        <v>2332.8</v>
      </c>
      <c r="E78" s="6">
        <v>1.0</v>
      </c>
      <c r="F78" s="7">
        <v>2332.8</v>
      </c>
      <c r="G78" s="2" t="s">
        <v>283</v>
      </c>
      <c r="H78" s="2" t="s">
        <v>284</v>
      </c>
      <c r="I78" s="2" t="s">
        <v>285</v>
      </c>
    </row>
    <row r="79" ht="15.75" customHeight="1">
      <c r="A79" s="1">
        <v>45580.0</v>
      </c>
      <c r="B79" s="3" t="s">
        <v>74</v>
      </c>
      <c r="C79" s="2" t="s">
        <v>83</v>
      </c>
      <c r="D79" s="6">
        <v>379.5</v>
      </c>
      <c r="E79" s="6">
        <v>4.0</v>
      </c>
      <c r="F79" s="7">
        <v>1518.0</v>
      </c>
      <c r="G79" s="2" t="s">
        <v>286</v>
      </c>
      <c r="H79" s="2" t="s">
        <v>287</v>
      </c>
      <c r="I79" s="2" t="s">
        <v>288</v>
      </c>
    </row>
    <row r="80" ht="15.75" customHeight="1">
      <c r="A80" s="1">
        <v>45580.0</v>
      </c>
      <c r="B80" s="3" t="s">
        <v>9</v>
      </c>
      <c r="C80" s="2" t="s">
        <v>289</v>
      </c>
      <c r="D80" s="6">
        <v>2020.01</v>
      </c>
      <c r="E80" s="6">
        <v>5.0</v>
      </c>
      <c r="F80" s="7">
        <v>10100.05</v>
      </c>
      <c r="G80" s="2" t="s">
        <v>290</v>
      </c>
      <c r="H80" s="2" t="s">
        <v>291</v>
      </c>
      <c r="I80" s="2" t="s">
        <v>292</v>
      </c>
    </row>
    <row r="81" ht="15.75" customHeight="1">
      <c r="A81" s="1">
        <v>45580.0</v>
      </c>
      <c r="B81" s="3" t="s">
        <v>9</v>
      </c>
      <c r="C81" s="2" t="s">
        <v>15</v>
      </c>
      <c r="D81" s="6">
        <v>428.56</v>
      </c>
      <c r="E81" s="6">
        <v>1.0</v>
      </c>
      <c r="F81" s="7">
        <v>428.56</v>
      </c>
      <c r="G81" s="2" t="s">
        <v>293</v>
      </c>
      <c r="H81" s="2" t="s">
        <v>294</v>
      </c>
      <c r="I81" s="2" t="s">
        <v>295</v>
      </c>
    </row>
    <row r="82" ht="15.75" customHeight="1">
      <c r="A82" s="1">
        <v>45580.0</v>
      </c>
      <c r="B82" s="3" t="s">
        <v>74</v>
      </c>
      <c r="C82" s="2" t="s">
        <v>22</v>
      </c>
      <c r="D82" s="6">
        <v>1966.38</v>
      </c>
      <c r="E82" s="6">
        <v>5.0</v>
      </c>
      <c r="F82" s="7">
        <v>9831.9</v>
      </c>
      <c r="G82" s="2" t="s">
        <v>296</v>
      </c>
      <c r="H82" s="2" t="s">
        <v>297</v>
      </c>
      <c r="I82" s="2" t="s">
        <v>298</v>
      </c>
    </row>
    <row r="83" ht="15.75" customHeight="1">
      <c r="A83" s="1">
        <v>45580.0</v>
      </c>
      <c r="B83" s="2" t="s">
        <v>34</v>
      </c>
      <c r="C83" s="2" t="s">
        <v>53</v>
      </c>
      <c r="D83" s="6">
        <v>2242.47</v>
      </c>
      <c r="E83" s="6">
        <v>4.0</v>
      </c>
      <c r="F83" s="7">
        <v>8969.88</v>
      </c>
      <c r="G83" s="2" t="s">
        <v>299</v>
      </c>
      <c r="H83" s="2" t="s">
        <v>300</v>
      </c>
      <c r="I83" s="2" t="s">
        <v>301</v>
      </c>
    </row>
    <row r="84" ht="15.75" customHeight="1">
      <c r="A84" s="1">
        <v>45580.0</v>
      </c>
      <c r="B84" s="2" t="s">
        <v>34</v>
      </c>
      <c r="C84" s="2" t="s">
        <v>66</v>
      </c>
      <c r="D84" s="6">
        <v>1896.1</v>
      </c>
      <c r="E84" s="6">
        <v>2.0</v>
      </c>
      <c r="F84" s="7">
        <v>3792.2</v>
      </c>
      <c r="G84" s="2" t="s">
        <v>302</v>
      </c>
      <c r="H84" s="2" t="s">
        <v>303</v>
      </c>
      <c r="I84" s="2" t="s">
        <v>304</v>
      </c>
    </row>
    <row r="85" ht="15.75" customHeight="1">
      <c r="A85" s="1">
        <v>45580.0</v>
      </c>
      <c r="B85" s="3" t="s">
        <v>14</v>
      </c>
      <c r="C85" s="2" t="s">
        <v>215</v>
      </c>
      <c r="D85" s="6">
        <v>829.53</v>
      </c>
      <c r="E85" s="6">
        <v>4.0</v>
      </c>
      <c r="F85" s="7">
        <v>3318.12</v>
      </c>
      <c r="G85" s="2" t="s">
        <v>305</v>
      </c>
      <c r="H85" s="2" t="s">
        <v>306</v>
      </c>
      <c r="I85" s="2" t="s">
        <v>307</v>
      </c>
    </row>
    <row r="86" ht="15.75" customHeight="1">
      <c r="A86" s="1">
        <v>45580.0</v>
      </c>
      <c r="B86" s="2" t="s">
        <v>34</v>
      </c>
      <c r="C86" s="2" t="s">
        <v>308</v>
      </c>
      <c r="D86" s="6">
        <v>2377.34</v>
      </c>
      <c r="E86" s="6">
        <v>2.0</v>
      </c>
      <c r="F86" s="7">
        <v>4754.68</v>
      </c>
      <c r="G86" s="2" t="s">
        <v>309</v>
      </c>
      <c r="H86" s="2" t="s">
        <v>310</v>
      </c>
      <c r="I86" s="2" t="s">
        <v>311</v>
      </c>
    </row>
    <row r="87" ht="15.75" customHeight="1">
      <c r="A87" s="1">
        <v>45581.0</v>
      </c>
      <c r="B87" s="2" t="s">
        <v>57</v>
      </c>
      <c r="C87" s="2" t="s">
        <v>312</v>
      </c>
      <c r="D87" s="6">
        <v>1614.05</v>
      </c>
      <c r="E87" s="6">
        <v>1.0</v>
      </c>
      <c r="F87" s="7">
        <v>1614.05</v>
      </c>
      <c r="G87" s="2" t="s">
        <v>313</v>
      </c>
      <c r="H87" s="2" t="s">
        <v>314</v>
      </c>
      <c r="I87" s="2" t="s">
        <v>315</v>
      </c>
    </row>
    <row r="88" ht="15.75" customHeight="1">
      <c r="A88" s="1">
        <v>45581.0</v>
      </c>
      <c r="B88" s="3" t="s">
        <v>9</v>
      </c>
      <c r="C88" s="2" t="s">
        <v>316</v>
      </c>
      <c r="D88" s="6">
        <v>1805.81</v>
      </c>
      <c r="E88" s="6">
        <v>3.0</v>
      </c>
      <c r="F88" s="7">
        <v>5417.43</v>
      </c>
      <c r="G88" s="2" t="s">
        <v>317</v>
      </c>
      <c r="H88" s="2" t="s">
        <v>318</v>
      </c>
      <c r="I88" s="2" t="s">
        <v>319</v>
      </c>
    </row>
    <row r="89" ht="15.75" customHeight="1">
      <c r="A89" s="1">
        <v>45581.0</v>
      </c>
      <c r="B89" s="2" t="s">
        <v>57</v>
      </c>
      <c r="C89" s="2" t="s">
        <v>230</v>
      </c>
      <c r="D89" s="6">
        <v>1112.48</v>
      </c>
      <c r="E89" s="6">
        <v>2.0</v>
      </c>
      <c r="F89" s="7">
        <v>2224.96</v>
      </c>
      <c r="G89" s="2" t="s">
        <v>320</v>
      </c>
      <c r="H89" s="2" t="s">
        <v>321</v>
      </c>
      <c r="I89" s="2" t="s">
        <v>322</v>
      </c>
    </row>
    <row r="90" ht="15.75" customHeight="1">
      <c r="A90" s="1">
        <v>45581.0</v>
      </c>
      <c r="B90" s="2" t="s">
        <v>57</v>
      </c>
      <c r="C90" s="2" t="s">
        <v>279</v>
      </c>
      <c r="D90" s="6">
        <v>2264.15</v>
      </c>
      <c r="E90" s="6">
        <v>5.0</v>
      </c>
      <c r="F90" s="7">
        <v>11320.75</v>
      </c>
      <c r="G90" s="2" t="s">
        <v>323</v>
      </c>
      <c r="H90" s="2" t="s">
        <v>324</v>
      </c>
      <c r="I90" s="2" t="s">
        <v>325</v>
      </c>
    </row>
    <row r="91" ht="15.75" customHeight="1">
      <c r="A91" s="5">
        <v>45581.0</v>
      </c>
      <c r="B91" s="3" t="s">
        <v>74</v>
      </c>
      <c r="C91" s="2" t="s">
        <v>115</v>
      </c>
      <c r="D91" s="6">
        <v>833.39</v>
      </c>
      <c r="E91" s="6">
        <v>1.0</v>
      </c>
      <c r="F91" s="7">
        <v>833.39</v>
      </c>
      <c r="G91" s="2" t="s">
        <v>326</v>
      </c>
      <c r="H91" s="2" t="s">
        <v>327</v>
      </c>
      <c r="I91" s="2" t="s">
        <v>328</v>
      </c>
    </row>
    <row r="92" ht="15.75" customHeight="1">
      <c r="A92" s="1">
        <v>45581.0</v>
      </c>
      <c r="B92" s="3" t="s">
        <v>14</v>
      </c>
      <c r="C92" s="2" t="s">
        <v>215</v>
      </c>
      <c r="D92" s="2"/>
      <c r="E92" s="6">
        <v>5.0</v>
      </c>
      <c r="F92" s="7">
        <v>11708.85</v>
      </c>
      <c r="G92" s="2" t="s">
        <v>329</v>
      </c>
      <c r="H92" s="2" t="s">
        <v>330</v>
      </c>
      <c r="I92" s="2" t="s">
        <v>331</v>
      </c>
    </row>
    <row r="93" ht="15.75" customHeight="1">
      <c r="A93" s="1">
        <v>45581.0</v>
      </c>
      <c r="B93" s="2" t="s">
        <v>34</v>
      </c>
      <c r="C93" s="2" t="s">
        <v>165</v>
      </c>
      <c r="D93" s="6">
        <v>397.5</v>
      </c>
      <c r="E93" s="6">
        <v>2.0</v>
      </c>
      <c r="F93" s="7">
        <v>795.0</v>
      </c>
      <c r="G93" s="2" t="s">
        <v>332</v>
      </c>
      <c r="H93" s="2" t="s">
        <v>333</v>
      </c>
      <c r="I93" s="2" t="s">
        <v>334</v>
      </c>
    </row>
    <row r="94" ht="15.75" customHeight="1">
      <c r="A94" s="1">
        <v>45581.0</v>
      </c>
      <c r="B94" s="3" t="s">
        <v>29</v>
      </c>
      <c r="C94" s="2" t="s">
        <v>88</v>
      </c>
      <c r="D94" s="6">
        <v>100.75</v>
      </c>
      <c r="E94" s="6">
        <v>1.0</v>
      </c>
      <c r="F94" s="7">
        <v>100.75</v>
      </c>
      <c r="G94" s="2" t="s">
        <v>335</v>
      </c>
      <c r="H94" s="2" t="s">
        <v>336</v>
      </c>
      <c r="I94" s="2" t="s">
        <v>337</v>
      </c>
    </row>
    <row r="95" ht="15.75" customHeight="1">
      <c r="A95" s="1">
        <v>45581.0</v>
      </c>
      <c r="B95" s="3" t="s">
        <v>29</v>
      </c>
      <c r="C95" s="2" t="s">
        <v>269</v>
      </c>
      <c r="D95" s="6">
        <v>1268.91</v>
      </c>
      <c r="E95" s="6">
        <v>2.0</v>
      </c>
      <c r="F95" s="7">
        <v>2537.82</v>
      </c>
      <c r="G95" s="2" t="s">
        <v>338</v>
      </c>
      <c r="H95" s="2" t="s">
        <v>339</v>
      </c>
      <c r="I95" s="2" t="s">
        <v>340</v>
      </c>
    </row>
    <row r="96" ht="15.75" customHeight="1">
      <c r="A96" s="1">
        <v>45581.0</v>
      </c>
      <c r="B96" s="3" t="s">
        <v>29</v>
      </c>
      <c r="C96" s="2" t="s">
        <v>341</v>
      </c>
      <c r="D96" s="6">
        <v>903.41</v>
      </c>
      <c r="E96" s="6">
        <v>3.0</v>
      </c>
      <c r="F96" s="7">
        <v>2710.23</v>
      </c>
      <c r="G96" s="2" t="s">
        <v>342</v>
      </c>
      <c r="H96" s="2" t="s">
        <v>343</v>
      </c>
      <c r="I96" s="2" t="s">
        <v>344</v>
      </c>
    </row>
    <row r="97" ht="15.75" customHeight="1">
      <c r="A97" s="1">
        <v>45581.0</v>
      </c>
      <c r="B97" s="2" t="s">
        <v>34</v>
      </c>
      <c r="C97" s="2" t="s">
        <v>341</v>
      </c>
      <c r="D97" s="6">
        <v>259.75</v>
      </c>
      <c r="E97" s="6">
        <v>4.0</v>
      </c>
      <c r="F97" s="7">
        <v>1039.0</v>
      </c>
      <c r="G97" s="2" t="s">
        <v>345</v>
      </c>
      <c r="H97" s="2" t="s">
        <v>346</v>
      </c>
      <c r="I97" s="2" t="s">
        <v>347</v>
      </c>
    </row>
    <row r="98" ht="15.75" customHeight="1">
      <c r="A98" s="1">
        <v>45582.0</v>
      </c>
      <c r="B98" s="3" t="s">
        <v>29</v>
      </c>
      <c r="C98" s="2" t="s">
        <v>252</v>
      </c>
      <c r="D98" s="6">
        <v>798.65</v>
      </c>
      <c r="E98" s="6">
        <v>1.0</v>
      </c>
      <c r="F98" s="7">
        <v>798.65</v>
      </c>
      <c r="G98" s="2" t="s">
        <v>348</v>
      </c>
      <c r="H98" s="2" t="s">
        <v>349</v>
      </c>
      <c r="I98" s="2" t="s">
        <v>350</v>
      </c>
    </row>
    <row r="99" ht="15.75" customHeight="1">
      <c r="A99" s="1">
        <v>45582.0</v>
      </c>
      <c r="B99" s="3" t="s">
        <v>9</v>
      </c>
      <c r="C99" s="2" t="s">
        <v>83</v>
      </c>
      <c r="D99" s="6">
        <v>1937.4</v>
      </c>
      <c r="E99" s="6">
        <v>2.0</v>
      </c>
      <c r="F99" s="7">
        <v>3874.8</v>
      </c>
      <c r="G99" s="2" t="s">
        <v>351</v>
      </c>
      <c r="H99" s="2" t="s">
        <v>352</v>
      </c>
      <c r="I99" s="2" t="s">
        <v>353</v>
      </c>
    </row>
    <row r="100" ht="15.75" customHeight="1">
      <c r="A100" s="1">
        <v>45582.0</v>
      </c>
      <c r="B100" s="2" t="s">
        <v>34</v>
      </c>
      <c r="C100" s="2" t="s">
        <v>161</v>
      </c>
      <c r="D100" s="6">
        <v>1866.74</v>
      </c>
      <c r="E100" s="6">
        <v>4.0</v>
      </c>
      <c r="F100" s="7">
        <v>7466.96</v>
      </c>
      <c r="G100" s="2" t="s">
        <v>354</v>
      </c>
      <c r="H100" s="2" t="s">
        <v>355</v>
      </c>
      <c r="I100" s="2" t="s">
        <v>356</v>
      </c>
    </row>
    <row r="101" ht="15.75" customHeight="1">
      <c r="A101" s="1">
        <v>45582.0</v>
      </c>
      <c r="B101" s="3" t="s">
        <v>29</v>
      </c>
      <c r="C101" s="2" t="s">
        <v>137</v>
      </c>
      <c r="D101" s="6">
        <v>1093.69</v>
      </c>
      <c r="E101" s="6">
        <v>1.0</v>
      </c>
      <c r="F101" s="7">
        <v>1093.69</v>
      </c>
      <c r="G101" s="2" t="s">
        <v>357</v>
      </c>
      <c r="H101" s="2" t="s">
        <v>358</v>
      </c>
      <c r="I101" s="8" t="s">
        <v>359</v>
      </c>
    </row>
    <row r="102" ht="15.75" customHeight="1">
      <c r="A102" s="1">
        <v>45582.0</v>
      </c>
      <c r="B102" s="3" t="s">
        <v>9</v>
      </c>
      <c r="C102" s="2" t="s">
        <v>115</v>
      </c>
      <c r="D102" s="6">
        <v>2063.13</v>
      </c>
      <c r="E102" s="6">
        <v>4.0</v>
      </c>
      <c r="F102" s="7">
        <v>8252.52</v>
      </c>
      <c r="G102" s="2" t="s">
        <v>360</v>
      </c>
      <c r="H102" s="2" t="s">
        <v>361</v>
      </c>
      <c r="I102" s="2" t="s">
        <v>362</v>
      </c>
    </row>
    <row r="103" ht="15.75" customHeight="1">
      <c r="A103" s="1">
        <v>45582.0</v>
      </c>
      <c r="B103" s="3" t="s">
        <v>74</v>
      </c>
      <c r="C103" s="2" t="s">
        <v>123</v>
      </c>
      <c r="D103" s="6">
        <v>1091.59</v>
      </c>
      <c r="E103" s="6">
        <v>5.0</v>
      </c>
      <c r="F103" s="7">
        <v>5457.95</v>
      </c>
      <c r="G103" s="2" t="s">
        <v>363</v>
      </c>
      <c r="H103" s="2" t="s">
        <v>364</v>
      </c>
      <c r="I103" s="2" t="s">
        <v>365</v>
      </c>
    </row>
    <row r="104" ht="15.75" customHeight="1">
      <c r="A104" s="1">
        <v>45582.0</v>
      </c>
      <c r="B104" s="3" t="s">
        <v>14</v>
      </c>
      <c r="C104" s="2" t="s">
        <v>366</v>
      </c>
      <c r="D104" s="6">
        <v>271.81</v>
      </c>
      <c r="E104" s="6">
        <v>2.0</v>
      </c>
      <c r="F104" s="4"/>
      <c r="G104" s="2" t="s">
        <v>367</v>
      </c>
      <c r="H104" s="2" t="s">
        <v>368</v>
      </c>
      <c r="I104" s="2" t="s">
        <v>369</v>
      </c>
    </row>
    <row r="105" ht="15.75" customHeight="1">
      <c r="A105" s="1">
        <v>45582.0</v>
      </c>
      <c r="B105" s="3" t="s">
        <v>29</v>
      </c>
      <c r="C105" s="2" t="s">
        <v>370</v>
      </c>
      <c r="D105" s="6">
        <v>2392.27</v>
      </c>
      <c r="E105" s="6">
        <v>4.0</v>
      </c>
      <c r="F105" s="7">
        <v>9569.08</v>
      </c>
      <c r="G105" s="2" t="s">
        <v>371</v>
      </c>
      <c r="H105" s="2" t="s">
        <v>372</v>
      </c>
      <c r="I105" s="2" t="s">
        <v>373</v>
      </c>
    </row>
    <row r="106" ht="15.75" customHeight="1">
      <c r="A106" s="1">
        <v>45582.0</v>
      </c>
      <c r="B106" s="2" t="s">
        <v>57</v>
      </c>
      <c r="C106" s="2" t="s">
        <v>169</v>
      </c>
      <c r="D106" s="6">
        <v>2411.28</v>
      </c>
      <c r="E106" s="6">
        <v>4.0</v>
      </c>
      <c r="F106" s="7">
        <v>9645.12</v>
      </c>
      <c r="G106" s="2" t="s">
        <v>374</v>
      </c>
      <c r="H106" s="2" t="s">
        <v>375</v>
      </c>
      <c r="I106" s="2" t="s">
        <v>376</v>
      </c>
    </row>
    <row r="107" ht="15.75" customHeight="1">
      <c r="A107" s="1">
        <v>45582.0</v>
      </c>
      <c r="B107" s="3" t="s">
        <v>29</v>
      </c>
      <c r="C107" s="2" t="s">
        <v>53</v>
      </c>
      <c r="D107" s="6">
        <v>303.84</v>
      </c>
      <c r="E107" s="6">
        <v>1.0</v>
      </c>
      <c r="F107" s="7">
        <v>303.84</v>
      </c>
      <c r="G107" s="2" t="s">
        <v>377</v>
      </c>
      <c r="H107" s="2" t="s">
        <v>378</v>
      </c>
      <c r="I107" s="2" t="s">
        <v>379</v>
      </c>
    </row>
    <row r="108" ht="15.75" customHeight="1">
      <c r="A108" s="1">
        <v>45582.0</v>
      </c>
      <c r="B108" s="3" t="s">
        <v>74</v>
      </c>
      <c r="C108" s="2" t="s">
        <v>316</v>
      </c>
      <c r="D108" s="6">
        <v>228.78</v>
      </c>
      <c r="E108" s="6">
        <v>1.0</v>
      </c>
      <c r="F108" s="7">
        <v>228.78</v>
      </c>
      <c r="G108" s="2" t="s">
        <v>380</v>
      </c>
      <c r="H108" s="2" t="s">
        <v>381</v>
      </c>
      <c r="I108" s="2" t="s">
        <v>382</v>
      </c>
    </row>
    <row r="109" ht="15.75" customHeight="1">
      <c r="A109" s="1">
        <v>45583.0</v>
      </c>
      <c r="B109" s="3" t="s">
        <v>9</v>
      </c>
      <c r="C109" s="2" t="s">
        <v>58</v>
      </c>
      <c r="D109" s="6">
        <v>721.04</v>
      </c>
      <c r="E109" s="6">
        <v>4.0</v>
      </c>
      <c r="F109" s="7">
        <v>2884.16</v>
      </c>
      <c r="G109" s="2" t="s">
        <v>383</v>
      </c>
      <c r="H109" s="2" t="s">
        <v>384</v>
      </c>
      <c r="I109" s="2" t="s">
        <v>385</v>
      </c>
    </row>
    <row r="110" ht="15.75" customHeight="1">
      <c r="A110" s="1">
        <v>45583.0</v>
      </c>
      <c r="B110" s="3" t="s">
        <v>74</v>
      </c>
      <c r="C110" s="2" t="s">
        <v>386</v>
      </c>
      <c r="D110" s="6">
        <v>594.52</v>
      </c>
      <c r="E110" s="6">
        <v>2.0</v>
      </c>
      <c r="F110" s="7">
        <v>1189.04</v>
      </c>
      <c r="G110" s="2" t="s">
        <v>387</v>
      </c>
      <c r="H110" s="2" t="s">
        <v>388</v>
      </c>
      <c r="I110" s="2" t="s">
        <v>389</v>
      </c>
    </row>
    <row r="111" ht="15.75" customHeight="1">
      <c r="A111" s="1">
        <v>45583.0</v>
      </c>
      <c r="B111" s="3" t="s">
        <v>9</v>
      </c>
      <c r="C111" s="2" t="s">
        <v>341</v>
      </c>
      <c r="D111" s="6">
        <v>1612.96</v>
      </c>
      <c r="E111" s="6">
        <v>1.0</v>
      </c>
      <c r="F111" s="7">
        <v>1612.96</v>
      </c>
      <c r="G111" s="2" t="s">
        <v>390</v>
      </c>
      <c r="H111" s="2" t="s">
        <v>391</v>
      </c>
      <c r="I111" s="2" t="s">
        <v>392</v>
      </c>
    </row>
    <row r="112" ht="15.75" customHeight="1">
      <c r="A112" s="1">
        <v>45583.0</v>
      </c>
      <c r="B112" s="3" t="s">
        <v>14</v>
      </c>
      <c r="C112" s="2" t="s">
        <v>289</v>
      </c>
      <c r="D112" s="6">
        <v>169.21</v>
      </c>
      <c r="E112" s="6">
        <v>3.0</v>
      </c>
      <c r="F112" s="7">
        <v>507.63</v>
      </c>
      <c r="G112" s="2" t="s">
        <v>393</v>
      </c>
      <c r="H112" s="2" t="s">
        <v>394</v>
      </c>
      <c r="I112" s="2" t="s">
        <v>395</v>
      </c>
    </row>
    <row r="113" ht="15.75" customHeight="1">
      <c r="A113" s="1">
        <v>45583.0</v>
      </c>
      <c r="B113" s="3" t="s">
        <v>14</v>
      </c>
      <c r="C113" s="2" t="s">
        <v>396</v>
      </c>
      <c r="D113" s="6">
        <v>709.65</v>
      </c>
      <c r="E113" s="6">
        <v>3.0</v>
      </c>
      <c r="F113" s="7">
        <v>2128.95</v>
      </c>
      <c r="G113" s="2" t="s">
        <v>397</v>
      </c>
      <c r="H113" s="2" t="s">
        <v>398</v>
      </c>
      <c r="I113" s="2" t="s">
        <v>399</v>
      </c>
    </row>
    <row r="114" ht="15.75" customHeight="1">
      <c r="A114" s="1">
        <v>45583.0</v>
      </c>
      <c r="B114" s="3" t="s">
        <v>14</v>
      </c>
      <c r="C114" s="2" t="s">
        <v>161</v>
      </c>
      <c r="D114" s="6">
        <v>1750.63</v>
      </c>
      <c r="E114" s="6">
        <v>5.0</v>
      </c>
      <c r="F114" s="7">
        <v>8753.15</v>
      </c>
      <c r="G114" s="2" t="s">
        <v>400</v>
      </c>
      <c r="H114" s="2" t="s">
        <v>401</v>
      </c>
      <c r="I114" s="2" t="s">
        <v>402</v>
      </c>
    </row>
    <row r="115" ht="15.75" customHeight="1">
      <c r="A115" s="1">
        <v>45583.0</v>
      </c>
      <c r="B115" s="2" t="s">
        <v>57</v>
      </c>
      <c r="C115" s="2" t="s">
        <v>83</v>
      </c>
      <c r="D115" s="2"/>
      <c r="E115" s="6">
        <v>4.0</v>
      </c>
      <c r="F115" s="7">
        <v>6259.84</v>
      </c>
      <c r="G115" s="2" t="s">
        <v>403</v>
      </c>
      <c r="H115" s="2" t="s">
        <v>404</v>
      </c>
      <c r="I115" s="2" t="s">
        <v>405</v>
      </c>
    </row>
    <row r="116" ht="15.75" customHeight="1">
      <c r="A116" s="1">
        <v>45583.0</v>
      </c>
      <c r="B116" s="2" t="s">
        <v>34</v>
      </c>
      <c r="C116" s="2" t="s">
        <v>66</v>
      </c>
      <c r="D116" s="6">
        <v>1972.43</v>
      </c>
      <c r="E116" s="6">
        <v>5.0</v>
      </c>
      <c r="F116" s="7">
        <v>9862.15</v>
      </c>
      <c r="G116" s="2" t="s">
        <v>406</v>
      </c>
      <c r="H116" s="2" t="s">
        <v>407</v>
      </c>
      <c r="I116" s="2" t="s">
        <v>408</v>
      </c>
    </row>
    <row r="117" ht="15.75" customHeight="1">
      <c r="A117" s="1">
        <v>45583.0</v>
      </c>
      <c r="B117" s="3" t="s">
        <v>29</v>
      </c>
      <c r="C117" s="2" t="s">
        <v>10</v>
      </c>
      <c r="D117" s="6">
        <v>2431.8</v>
      </c>
      <c r="E117" s="6">
        <v>2.0</v>
      </c>
      <c r="F117" s="7">
        <v>4863.6</v>
      </c>
      <c r="G117" s="2" t="s">
        <v>409</v>
      </c>
      <c r="H117" s="2" t="s">
        <v>410</v>
      </c>
      <c r="I117" s="2" t="s">
        <v>411</v>
      </c>
    </row>
    <row r="118" ht="15.75" customHeight="1">
      <c r="A118" s="1">
        <v>45583.0</v>
      </c>
      <c r="B118" s="2" t="s">
        <v>57</v>
      </c>
      <c r="C118" s="2" t="s">
        <v>222</v>
      </c>
      <c r="D118" s="6">
        <v>904.01</v>
      </c>
      <c r="E118" s="6">
        <v>1.0</v>
      </c>
      <c r="F118" s="7">
        <v>904.01</v>
      </c>
      <c r="G118" s="2" t="s">
        <v>412</v>
      </c>
      <c r="H118" s="2" t="s">
        <v>413</v>
      </c>
      <c r="I118" s="2" t="s">
        <v>414</v>
      </c>
    </row>
    <row r="119" ht="15.75" customHeight="1">
      <c r="A119" s="1">
        <v>45583.0</v>
      </c>
      <c r="B119" s="3" t="s">
        <v>74</v>
      </c>
      <c r="C119" s="2" t="s">
        <v>308</v>
      </c>
      <c r="D119" s="6">
        <v>700.55</v>
      </c>
      <c r="E119" s="6">
        <v>5.0</v>
      </c>
      <c r="F119" s="7">
        <v>3502.75</v>
      </c>
      <c r="G119" s="3" t="s">
        <v>415</v>
      </c>
      <c r="H119" s="2" t="s">
        <v>416</v>
      </c>
      <c r="I119" s="2" t="s">
        <v>417</v>
      </c>
    </row>
    <row r="120" ht="15.75" customHeight="1">
      <c r="A120" s="1">
        <v>45583.0</v>
      </c>
      <c r="B120" s="2" t="s">
        <v>34</v>
      </c>
      <c r="C120" s="2" t="s">
        <v>22</v>
      </c>
      <c r="D120" s="6">
        <v>1034.4</v>
      </c>
      <c r="E120" s="6">
        <v>1.0</v>
      </c>
      <c r="F120" s="7">
        <v>1034.4</v>
      </c>
      <c r="G120" s="2" t="s">
        <v>418</v>
      </c>
      <c r="H120" s="2" t="s">
        <v>419</v>
      </c>
      <c r="I120" s="2" t="s">
        <v>420</v>
      </c>
    </row>
    <row r="121" ht="15.75" customHeight="1">
      <c r="A121" s="1">
        <v>45584.0</v>
      </c>
      <c r="B121" s="3" t="s">
        <v>74</v>
      </c>
      <c r="C121" s="2" t="s">
        <v>49</v>
      </c>
      <c r="D121" s="6">
        <v>902.5</v>
      </c>
      <c r="E121" s="6">
        <v>3.0</v>
      </c>
      <c r="F121" s="7">
        <v>2707.5</v>
      </c>
      <c r="G121" s="2" t="s">
        <v>421</v>
      </c>
      <c r="H121" s="2" t="s">
        <v>422</v>
      </c>
      <c r="I121" s="2" t="s">
        <v>423</v>
      </c>
    </row>
    <row r="122" ht="15.75" customHeight="1">
      <c r="A122" s="1">
        <v>45584.0</v>
      </c>
      <c r="B122" s="3" t="s">
        <v>74</v>
      </c>
      <c r="C122" s="2" t="s">
        <v>15</v>
      </c>
      <c r="D122" s="6">
        <v>713.75</v>
      </c>
      <c r="E122" s="6">
        <v>3.0</v>
      </c>
      <c r="F122" s="7">
        <v>2141.25</v>
      </c>
      <c r="G122" s="2" t="s">
        <v>424</v>
      </c>
      <c r="H122" s="2" t="s">
        <v>425</v>
      </c>
      <c r="I122" s="2" t="s">
        <v>426</v>
      </c>
    </row>
    <row r="123" ht="15.75" customHeight="1">
      <c r="A123" s="1">
        <v>45584.0</v>
      </c>
      <c r="B123" s="3" t="s">
        <v>9</v>
      </c>
      <c r="C123" s="2" t="s">
        <v>427</v>
      </c>
      <c r="D123" s="6">
        <v>2484.74</v>
      </c>
      <c r="E123" s="6">
        <v>5.0</v>
      </c>
      <c r="F123" s="7">
        <v>12423.7</v>
      </c>
      <c r="G123" s="2" t="s">
        <v>428</v>
      </c>
      <c r="H123" s="2" t="s">
        <v>429</v>
      </c>
      <c r="I123" s="2" t="s">
        <v>430</v>
      </c>
    </row>
    <row r="124" ht="15.75" customHeight="1">
      <c r="A124" s="1">
        <v>45584.0</v>
      </c>
      <c r="B124" s="2" t="s">
        <v>57</v>
      </c>
      <c r="C124" s="2" t="s">
        <v>161</v>
      </c>
      <c r="D124" s="6">
        <v>2182.83</v>
      </c>
      <c r="E124" s="6">
        <v>4.0</v>
      </c>
      <c r="F124" s="7">
        <v>8731.32</v>
      </c>
      <c r="G124" s="2" t="s">
        <v>431</v>
      </c>
      <c r="H124" s="2" t="s">
        <v>432</v>
      </c>
      <c r="I124" s="2" t="s">
        <v>433</v>
      </c>
    </row>
    <row r="125" ht="15.75" customHeight="1">
      <c r="A125" s="1">
        <v>45584.0</v>
      </c>
      <c r="B125" s="2" t="s">
        <v>57</v>
      </c>
      <c r="C125" s="2" t="s">
        <v>427</v>
      </c>
      <c r="D125" s="6">
        <v>2329.03</v>
      </c>
      <c r="E125" s="6">
        <v>4.0</v>
      </c>
      <c r="F125" s="7">
        <v>9316.12</v>
      </c>
      <c r="G125" s="2" t="s">
        <v>434</v>
      </c>
      <c r="H125" s="2" t="s">
        <v>435</v>
      </c>
      <c r="I125" s="2" t="s">
        <v>436</v>
      </c>
    </row>
    <row r="126" ht="15.75" customHeight="1">
      <c r="A126" s="1">
        <v>45584.0</v>
      </c>
      <c r="B126" s="3" t="s">
        <v>14</v>
      </c>
      <c r="C126" s="2" t="s">
        <v>30</v>
      </c>
      <c r="D126" s="6">
        <v>130.05</v>
      </c>
      <c r="E126" s="6">
        <v>1.0</v>
      </c>
      <c r="F126" s="7">
        <v>130.05</v>
      </c>
      <c r="G126" s="2" t="s">
        <v>437</v>
      </c>
      <c r="H126" s="2" t="s">
        <v>438</v>
      </c>
      <c r="I126" s="2" t="s">
        <v>439</v>
      </c>
    </row>
    <row r="127" ht="15.75" customHeight="1">
      <c r="A127" s="1">
        <v>45584.0</v>
      </c>
      <c r="B127" s="2" t="s">
        <v>57</v>
      </c>
      <c r="C127" s="2" t="s">
        <v>269</v>
      </c>
      <c r="D127" s="6">
        <v>1564.37</v>
      </c>
      <c r="E127" s="6">
        <v>1.0</v>
      </c>
      <c r="F127" s="7">
        <v>1564.37</v>
      </c>
      <c r="G127" s="2" t="s">
        <v>440</v>
      </c>
      <c r="H127" s="2" t="s">
        <v>441</v>
      </c>
      <c r="I127" s="2" t="s">
        <v>442</v>
      </c>
    </row>
    <row r="128" ht="15.75" customHeight="1">
      <c r="A128" s="1">
        <v>45584.0</v>
      </c>
      <c r="B128" s="3" t="s">
        <v>74</v>
      </c>
      <c r="C128" s="2" t="s">
        <v>15</v>
      </c>
      <c r="D128" s="6">
        <v>2317.94</v>
      </c>
      <c r="E128" s="6">
        <v>4.0</v>
      </c>
      <c r="F128" s="7">
        <v>9271.76</v>
      </c>
      <c r="G128" s="2" t="s">
        <v>443</v>
      </c>
      <c r="H128" s="2" t="s">
        <v>444</v>
      </c>
      <c r="I128" s="2" t="s">
        <v>445</v>
      </c>
    </row>
    <row r="129" ht="15.75" customHeight="1">
      <c r="A129" s="1">
        <v>45584.0</v>
      </c>
      <c r="B129" s="3" t="s">
        <v>14</v>
      </c>
      <c r="C129" s="2" t="s">
        <v>222</v>
      </c>
      <c r="D129" s="6">
        <v>722.95</v>
      </c>
      <c r="E129" s="6">
        <v>3.0</v>
      </c>
      <c r="F129" s="7">
        <v>2168.85</v>
      </c>
      <c r="G129" s="2" t="s">
        <v>446</v>
      </c>
      <c r="H129" s="2" t="s">
        <v>447</v>
      </c>
      <c r="I129" s="2" t="s">
        <v>448</v>
      </c>
    </row>
    <row r="130" ht="15.75" customHeight="1">
      <c r="A130" s="1">
        <v>45584.0</v>
      </c>
      <c r="B130" s="3" t="s">
        <v>29</v>
      </c>
      <c r="C130" s="2" t="s">
        <v>165</v>
      </c>
      <c r="D130" s="6">
        <v>242.27</v>
      </c>
      <c r="E130" s="6">
        <v>1.0</v>
      </c>
      <c r="F130" s="7">
        <v>242.27</v>
      </c>
      <c r="G130" s="2" t="s">
        <v>449</v>
      </c>
      <c r="H130" s="2" t="s">
        <v>450</v>
      </c>
      <c r="I130" s="2" t="s">
        <v>451</v>
      </c>
    </row>
    <row r="131" ht="15.75" customHeight="1">
      <c r="A131" s="1">
        <v>45584.0</v>
      </c>
      <c r="B131" s="2" t="s">
        <v>57</v>
      </c>
      <c r="C131" s="2" t="s">
        <v>35</v>
      </c>
      <c r="D131" s="6">
        <v>1279.5</v>
      </c>
      <c r="E131" s="6">
        <v>2.0</v>
      </c>
      <c r="F131" s="7">
        <v>2559.0</v>
      </c>
      <c r="G131" s="2" t="s">
        <v>452</v>
      </c>
      <c r="H131" s="2" t="s">
        <v>453</v>
      </c>
      <c r="I131" s="2" t="s">
        <v>454</v>
      </c>
    </row>
    <row r="132" ht="15.75" customHeight="1">
      <c r="A132" s="1">
        <v>45585.0</v>
      </c>
      <c r="B132" s="3" t="s">
        <v>29</v>
      </c>
      <c r="C132" s="2" t="s">
        <v>66</v>
      </c>
      <c r="D132" s="6">
        <v>2299.22</v>
      </c>
      <c r="E132" s="6">
        <v>5.0</v>
      </c>
      <c r="F132" s="7">
        <v>11496.1</v>
      </c>
      <c r="G132" s="2" t="s">
        <v>455</v>
      </c>
      <c r="H132" s="2" t="s">
        <v>456</v>
      </c>
      <c r="I132" s="2" t="s">
        <v>457</v>
      </c>
    </row>
    <row r="133" ht="15.75" customHeight="1">
      <c r="A133" s="1">
        <v>45585.0</v>
      </c>
      <c r="B133" s="3" t="s">
        <v>29</v>
      </c>
      <c r="C133" s="2" t="s">
        <v>39</v>
      </c>
      <c r="D133" s="6">
        <v>1077.13</v>
      </c>
      <c r="E133" s="6">
        <v>5.0</v>
      </c>
      <c r="F133" s="7">
        <v>5385.65</v>
      </c>
      <c r="G133" s="2" t="s">
        <v>458</v>
      </c>
      <c r="H133" s="2" t="s">
        <v>459</v>
      </c>
      <c r="I133" s="2" t="s">
        <v>460</v>
      </c>
    </row>
    <row r="134" ht="15.75" customHeight="1">
      <c r="A134" s="1">
        <v>45585.0</v>
      </c>
      <c r="B134" s="3" t="s">
        <v>29</v>
      </c>
      <c r="C134" s="2" t="s">
        <v>10</v>
      </c>
      <c r="D134" s="6">
        <v>1956.0</v>
      </c>
      <c r="E134" s="6">
        <v>5.0</v>
      </c>
      <c r="F134" s="7">
        <v>9780.0</v>
      </c>
      <c r="G134" s="2" t="s">
        <v>461</v>
      </c>
      <c r="H134" s="2" t="s">
        <v>462</v>
      </c>
      <c r="I134" s="2" t="s">
        <v>463</v>
      </c>
    </row>
    <row r="135" ht="15.75" customHeight="1">
      <c r="A135" s="1">
        <v>45585.0</v>
      </c>
      <c r="B135" s="3" t="s">
        <v>74</v>
      </c>
      <c r="C135" s="2" t="s">
        <v>130</v>
      </c>
      <c r="D135" s="6">
        <v>2224.57</v>
      </c>
      <c r="E135" s="6">
        <v>5.0</v>
      </c>
      <c r="F135" s="7">
        <v>11122.85</v>
      </c>
      <c r="G135" s="2" t="s">
        <v>464</v>
      </c>
      <c r="H135" s="2" t="s">
        <v>465</v>
      </c>
      <c r="I135" s="8" t="s">
        <v>466</v>
      </c>
    </row>
    <row r="136" ht="15.75" customHeight="1">
      <c r="A136" s="1">
        <v>45585.0</v>
      </c>
      <c r="B136" s="3" t="s">
        <v>87</v>
      </c>
      <c r="C136" s="2" t="s">
        <v>341</v>
      </c>
      <c r="D136" s="6">
        <v>1840.11</v>
      </c>
      <c r="E136" s="6">
        <v>1.0</v>
      </c>
      <c r="F136" s="7">
        <v>1840.11</v>
      </c>
      <c r="G136" s="2" t="s">
        <v>467</v>
      </c>
      <c r="H136" s="2" t="s">
        <v>468</v>
      </c>
      <c r="I136" s="2" t="s">
        <v>469</v>
      </c>
    </row>
    <row r="137" ht="15.75" customHeight="1">
      <c r="A137" s="1">
        <v>45585.0</v>
      </c>
      <c r="B137" s="3" t="s">
        <v>29</v>
      </c>
      <c r="C137" s="2" t="s">
        <v>308</v>
      </c>
      <c r="D137" s="6">
        <v>2081.9</v>
      </c>
      <c r="E137" s="6">
        <v>1.0</v>
      </c>
      <c r="F137" s="7">
        <v>2081.9</v>
      </c>
      <c r="G137" s="2" t="s">
        <v>470</v>
      </c>
      <c r="H137" s="2" t="s">
        <v>471</v>
      </c>
      <c r="I137" s="2" t="s">
        <v>472</v>
      </c>
    </row>
    <row r="138" ht="15.75" customHeight="1">
      <c r="A138" s="1">
        <v>45585.0</v>
      </c>
      <c r="B138" s="2" t="s">
        <v>57</v>
      </c>
      <c r="C138" s="2" t="s">
        <v>137</v>
      </c>
      <c r="D138" s="6">
        <v>320.64</v>
      </c>
      <c r="E138" s="6">
        <v>5.0</v>
      </c>
      <c r="F138" s="7">
        <v>1603.2</v>
      </c>
      <c r="G138" s="2" t="s">
        <v>473</v>
      </c>
      <c r="H138" s="2" t="s">
        <v>474</v>
      </c>
      <c r="I138" s="2" t="s">
        <v>475</v>
      </c>
    </row>
    <row r="139" ht="15.75" customHeight="1">
      <c r="A139" s="1">
        <v>45585.0</v>
      </c>
      <c r="B139" s="2" t="s">
        <v>57</v>
      </c>
      <c r="C139" s="2" t="s">
        <v>79</v>
      </c>
      <c r="D139" s="6">
        <v>318.76</v>
      </c>
      <c r="E139" s="6">
        <v>3.0</v>
      </c>
      <c r="F139" s="7">
        <v>956.28</v>
      </c>
      <c r="G139" s="2" t="s">
        <v>476</v>
      </c>
      <c r="H139" s="2" t="s">
        <v>477</v>
      </c>
      <c r="I139" s="8" t="s">
        <v>478</v>
      </c>
    </row>
    <row r="140" ht="15.75" customHeight="1">
      <c r="A140" s="1">
        <v>45585.0</v>
      </c>
      <c r="B140" s="3" t="s">
        <v>29</v>
      </c>
      <c r="C140" s="2" t="s">
        <v>137</v>
      </c>
      <c r="D140" s="6">
        <v>474.59</v>
      </c>
      <c r="E140" s="6">
        <v>4.0</v>
      </c>
      <c r="F140" s="7">
        <v>1898.36</v>
      </c>
      <c r="G140" s="2" t="s">
        <v>479</v>
      </c>
      <c r="H140" s="2" t="s">
        <v>480</v>
      </c>
      <c r="I140" s="2" t="s">
        <v>481</v>
      </c>
    </row>
    <row r="141" ht="15.75" customHeight="1">
      <c r="A141" s="1">
        <v>45585.0</v>
      </c>
      <c r="B141" s="3" t="s">
        <v>74</v>
      </c>
      <c r="C141" s="2" t="s">
        <v>70</v>
      </c>
      <c r="D141" s="6">
        <v>2430.43</v>
      </c>
      <c r="E141" s="6">
        <v>5.0</v>
      </c>
      <c r="F141" s="7">
        <v>12152.15</v>
      </c>
      <c r="G141" s="2" t="s">
        <v>482</v>
      </c>
      <c r="H141" s="2" t="s">
        <v>483</v>
      </c>
      <c r="I141" s="2" t="s">
        <v>484</v>
      </c>
    </row>
    <row r="142" ht="15.75" customHeight="1">
      <c r="A142" s="1">
        <v>45585.0</v>
      </c>
      <c r="B142" s="2" t="s">
        <v>34</v>
      </c>
      <c r="C142" s="2" t="s">
        <v>256</v>
      </c>
      <c r="D142" s="6">
        <v>270.83</v>
      </c>
      <c r="E142" s="6">
        <v>3.0</v>
      </c>
      <c r="F142" s="7">
        <v>812.49</v>
      </c>
      <c r="G142" s="2" t="s">
        <v>485</v>
      </c>
      <c r="H142" s="2" t="s">
        <v>486</v>
      </c>
      <c r="I142" s="2" t="s">
        <v>487</v>
      </c>
    </row>
    <row r="143" ht="15.75" customHeight="1">
      <c r="A143" s="1">
        <v>45586.0</v>
      </c>
      <c r="B143" s="3" t="s">
        <v>9</v>
      </c>
      <c r="C143" s="2" t="s">
        <v>115</v>
      </c>
      <c r="D143" s="6">
        <v>121.68</v>
      </c>
      <c r="E143" s="6">
        <v>2.0</v>
      </c>
      <c r="F143" s="7">
        <v>243.36</v>
      </c>
      <c r="G143" s="2" t="s">
        <v>488</v>
      </c>
      <c r="H143" s="2" t="s">
        <v>489</v>
      </c>
      <c r="I143" s="2" t="s">
        <v>490</v>
      </c>
    </row>
    <row r="144" ht="15.75" customHeight="1">
      <c r="A144" s="1">
        <v>45586.0</v>
      </c>
      <c r="B144" s="3" t="s">
        <v>74</v>
      </c>
      <c r="C144" s="2" t="s">
        <v>92</v>
      </c>
      <c r="D144" s="6">
        <v>392.86</v>
      </c>
      <c r="E144" s="6">
        <v>2.0</v>
      </c>
      <c r="F144" s="7">
        <v>785.72</v>
      </c>
      <c r="G144" s="2" t="s">
        <v>491</v>
      </c>
      <c r="H144" s="2" t="s">
        <v>492</v>
      </c>
      <c r="I144" s="2" t="s">
        <v>493</v>
      </c>
    </row>
    <row r="145" ht="15.75" customHeight="1">
      <c r="A145" s="1">
        <v>45586.0</v>
      </c>
      <c r="B145" s="3" t="s">
        <v>87</v>
      </c>
      <c r="C145" s="2" t="s">
        <v>341</v>
      </c>
      <c r="D145" s="6">
        <v>1807.14</v>
      </c>
      <c r="E145" s="6">
        <v>5.0</v>
      </c>
      <c r="F145" s="7">
        <v>9035.7</v>
      </c>
      <c r="G145" s="2" t="s">
        <v>494</v>
      </c>
      <c r="H145" s="2" t="s">
        <v>495</v>
      </c>
      <c r="I145" s="2" t="s">
        <v>496</v>
      </c>
    </row>
    <row r="146" ht="15.75" customHeight="1">
      <c r="A146" s="1">
        <v>45586.0</v>
      </c>
      <c r="B146" s="2" t="s">
        <v>57</v>
      </c>
      <c r="C146" s="2" t="s">
        <v>151</v>
      </c>
      <c r="D146" s="6">
        <v>1604.02</v>
      </c>
      <c r="E146" s="6">
        <v>5.0</v>
      </c>
      <c r="F146" s="7">
        <v>8020.1</v>
      </c>
      <c r="G146" s="2" t="s">
        <v>497</v>
      </c>
      <c r="H146" s="2" t="s">
        <v>498</v>
      </c>
      <c r="I146" s="2" t="s">
        <v>499</v>
      </c>
    </row>
    <row r="147" ht="15.75" customHeight="1">
      <c r="A147" s="1">
        <v>45586.0</v>
      </c>
      <c r="B147" s="2" t="s">
        <v>34</v>
      </c>
      <c r="C147" s="2" t="s">
        <v>269</v>
      </c>
      <c r="D147" s="6">
        <v>72.75</v>
      </c>
      <c r="E147" s="6">
        <v>3.0</v>
      </c>
      <c r="F147" s="7">
        <v>218.25</v>
      </c>
      <c r="G147" s="2" t="s">
        <v>500</v>
      </c>
      <c r="H147" s="2" t="s">
        <v>501</v>
      </c>
      <c r="I147" s="2" t="s">
        <v>502</v>
      </c>
    </row>
    <row r="148" ht="15.75" customHeight="1">
      <c r="A148" s="1">
        <v>45587.0</v>
      </c>
      <c r="B148" s="3" t="s">
        <v>29</v>
      </c>
      <c r="C148" s="2" t="s">
        <v>503</v>
      </c>
      <c r="D148" s="6">
        <v>1524.07</v>
      </c>
      <c r="E148" s="6">
        <v>1.0</v>
      </c>
      <c r="F148" s="7">
        <v>1524.07</v>
      </c>
      <c r="G148" s="2" t="s">
        <v>504</v>
      </c>
      <c r="H148" s="2" t="s">
        <v>505</v>
      </c>
      <c r="I148" s="2" t="s">
        <v>506</v>
      </c>
    </row>
    <row r="149" ht="15.75" customHeight="1">
      <c r="A149" s="1">
        <v>45587.0</v>
      </c>
      <c r="B149" s="3" t="s">
        <v>74</v>
      </c>
      <c r="C149" s="2" t="s">
        <v>79</v>
      </c>
      <c r="D149" s="6">
        <v>2392.65</v>
      </c>
      <c r="E149" s="6">
        <v>4.0</v>
      </c>
      <c r="F149" s="7">
        <v>9570.6</v>
      </c>
      <c r="G149" s="2" t="s">
        <v>507</v>
      </c>
      <c r="H149" s="2" t="s">
        <v>508</v>
      </c>
      <c r="I149" s="2" t="s">
        <v>509</v>
      </c>
    </row>
    <row r="150" ht="15.75" customHeight="1">
      <c r="A150" s="1">
        <v>45587.0</v>
      </c>
      <c r="B150" s="3" t="s">
        <v>29</v>
      </c>
      <c r="C150" s="2" t="s">
        <v>269</v>
      </c>
      <c r="D150" s="6">
        <v>1988.0</v>
      </c>
      <c r="E150" s="6">
        <v>2.0</v>
      </c>
      <c r="F150" s="7">
        <v>3976.0</v>
      </c>
      <c r="G150" s="2" t="s">
        <v>510</v>
      </c>
      <c r="H150" s="2" t="s">
        <v>511</v>
      </c>
      <c r="I150" s="2" t="s">
        <v>512</v>
      </c>
    </row>
    <row r="151" ht="15.75" customHeight="1">
      <c r="A151" s="1">
        <v>45587.0</v>
      </c>
      <c r="B151" s="2" t="s">
        <v>57</v>
      </c>
      <c r="C151" s="2" t="s">
        <v>226</v>
      </c>
      <c r="D151" s="6">
        <v>1703.47</v>
      </c>
      <c r="E151" s="6">
        <v>2.0</v>
      </c>
      <c r="F151" s="7">
        <v>3406.94</v>
      </c>
      <c r="G151" s="2" t="s">
        <v>513</v>
      </c>
      <c r="H151" s="2" t="s">
        <v>514</v>
      </c>
      <c r="I151" s="2" t="s">
        <v>515</v>
      </c>
    </row>
    <row r="152" ht="15.75" customHeight="1">
      <c r="A152" s="1">
        <v>45587.0</v>
      </c>
      <c r="B152" s="2" t="s">
        <v>57</v>
      </c>
      <c r="C152" s="2" t="s">
        <v>35</v>
      </c>
      <c r="D152" s="6">
        <v>205.25</v>
      </c>
      <c r="E152" s="6">
        <v>3.0</v>
      </c>
      <c r="F152" s="7">
        <v>615.75</v>
      </c>
      <c r="G152" s="2" t="s">
        <v>516</v>
      </c>
      <c r="H152" s="2" t="s">
        <v>517</v>
      </c>
      <c r="I152" s="2" t="s">
        <v>518</v>
      </c>
    </row>
    <row r="153" ht="15.75" customHeight="1">
      <c r="A153" s="1">
        <v>45587.0</v>
      </c>
      <c r="B153" s="3" t="s">
        <v>74</v>
      </c>
      <c r="C153" s="2" t="s">
        <v>252</v>
      </c>
      <c r="D153" s="6">
        <v>1882.22</v>
      </c>
      <c r="E153" s="6">
        <v>3.0</v>
      </c>
      <c r="F153" s="7">
        <v>5646.66</v>
      </c>
      <c r="G153" s="2" t="s">
        <v>519</v>
      </c>
      <c r="H153" s="2" t="s">
        <v>520</v>
      </c>
      <c r="I153" s="2" t="s">
        <v>521</v>
      </c>
    </row>
    <row r="154" ht="15.75" customHeight="1">
      <c r="A154" s="1">
        <v>45587.0</v>
      </c>
      <c r="B154" s="3" t="s">
        <v>14</v>
      </c>
      <c r="C154" s="2" t="s">
        <v>226</v>
      </c>
      <c r="D154" s="6">
        <v>419.18</v>
      </c>
      <c r="E154" s="6">
        <v>4.0</v>
      </c>
      <c r="F154" s="7">
        <v>1676.72</v>
      </c>
      <c r="G154" s="2" t="s">
        <v>522</v>
      </c>
      <c r="H154" s="2" t="s">
        <v>523</v>
      </c>
      <c r="I154" s="2" t="s">
        <v>524</v>
      </c>
    </row>
    <row r="155" ht="15.75" customHeight="1">
      <c r="A155" s="1">
        <v>45587.0</v>
      </c>
      <c r="B155" s="2" t="s">
        <v>34</v>
      </c>
      <c r="C155" s="2" t="s">
        <v>256</v>
      </c>
      <c r="D155" s="6">
        <v>1511.08</v>
      </c>
      <c r="E155" s="6">
        <v>2.0</v>
      </c>
      <c r="F155" s="7">
        <v>3022.16</v>
      </c>
      <c r="G155" s="2" t="s">
        <v>525</v>
      </c>
      <c r="H155" s="2" t="s">
        <v>526</v>
      </c>
      <c r="I155" s="2" t="s">
        <v>527</v>
      </c>
    </row>
    <row r="156" ht="15.75" customHeight="1">
      <c r="A156" s="1">
        <v>45587.0</v>
      </c>
      <c r="B156" s="3" t="s">
        <v>9</v>
      </c>
      <c r="C156" s="2" t="s">
        <v>289</v>
      </c>
      <c r="D156" s="6">
        <v>1736.9</v>
      </c>
      <c r="E156" s="6">
        <v>5.0</v>
      </c>
      <c r="F156" s="7">
        <v>8684.5</v>
      </c>
      <c r="G156" s="2" t="s">
        <v>528</v>
      </c>
      <c r="H156" s="2" t="s">
        <v>529</v>
      </c>
      <c r="I156" s="2" t="s">
        <v>530</v>
      </c>
    </row>
    <row r="157" ht="15.75" customHeight="1">
      <c r="A157" s="1">
        <v>45587.0</v>
      </c>
      <c r="B157" s="3" t="s">
        <v>14</v>
      </c>
      <c r="C157" s="2" t="s">
        <v>161</v>
      </c>
      <c r="D157" s="6">
        <v>2063.13</v>
      </c>
      <c r="E157" s="6">
        <v>4.0</v>
      </c>
      <c r="F157" s="7">
        <v>8252.52</v>
      </c>
      <c r="G157" s="2" t="s">
        <v>531</v>
      </c>
      <c r="H157" s="2" t="s">
        <v>532</v>
      </c>
      <c r="I157" s="2" t="s">
        <v>533</v>
      </c>
    </row>
    <row r="158" ht="15.75" customHeight="1">
      <c r="A158" s="1">
        <v>45587.0</v>
      </c>
      <c r="B158" s="3" t="s">
        <v>29</v>
      </c>
      <c r="C158" s="2" t="s">
        <v>226</v>
      </c>
      <c r="D158" s="6">
        <v>2240.54</v>
      </c>
      <c r="E158" s="6">
        <v>2.0</v>
      </c>
      <c r="F158" s="7">
        <v>4481.08</v>
      </c>
      <c r="G158" s="2" t="s">
        <v>534</v>
      </c>
      <c r="H158" s="2" t="s">
        <v>535</v>
      </c>
      <c r="I158" s="2" t="s">
        <v>536</v>
      </c>
    </row>
    <row r="159" ht="15.75" customHeight="1">
      <c r="A159" s="1">
        <v>45588.0</v>
      </c>
      <c r="B159" s="3" t="s">
        <v>9</v>
      </c>
      <c r="C159" s="2" t="s">
        <v>130</v>
      </c>
      <c r="D159" s="6">
        <v>1242.34</v>
      </c>
      <c r="E159" s="6">
        <v>5.0</v>
      </c>
      <c r="F159" s="7">
        <v>6211.7</v>
      </c>
      <c r="G159" s="2" t="s">
        <v>537</v>
      </c>
      <c r="H159" s="2" t="s">
        <v>538</v>
      </c>
      <c r="I159" s="2" t="s">
        <v>539</v>
      </c>
    </row>
    <row r="160" ht="15.75" customHeight="1">
      <c r="A160" s="1">
        <v>45588.0</v>
      </c>
      <c r="B160" s="2" t="s">
        <v>57</v>
      </c>
      <c r="C160" s="2" t="s">
        <v>396</v>
      </c>
      <c r="D160" s="6">
        <v>1657.62</v>
      </c>
      <c r="E160" s="6">
        <v>4.0</v>
      </c>
      <c r="F160" s="7">
        <v>6630.48</v>
      </c>
      <c r="G160" s="2" t="s">
        <v>540</v>
      </c>
      <c r="H160" s="2" t="s">
        <v>541</v>
      </c>
      <c r="I160" s="2" t="s">
        <v>542</v>
      </c>
    </row>
    <row r="161" ht="15.75" customHeight="1">
      <c r="A161" s="1">
        <v>45588.0</v>
      </c>
      <c r="B161" s="2" t="s">
        <v>34</v>
      </c>
      <c r="C161" s="2" t="s">
        <v>15</v>
      </c>
      <c r="D161" s="6">
        <v>499.22</v>
      </c>
      <c r="E161" s="6">
        <v>3.0</v>
      </c>
      <c r="F161" s="7">
        <v>1497.66</v>
      </c>
      <c r="G161" s="2" t="s">
        <v>543</v>
      </c>
      <c r="H161" s="2" t="s">
        <v>544</v>
      </c>
      <c r="I161" s="2" t="s">
        <v>545</v>
      </c>
    </row>
    <row r="162" ht="15.75" customHeight="1">
      <c r="A162" s="1">
        <v>45588.0</v>
      </c>
      <c r="B162" s="2" t="s">
        <v>57</v>
      </c>
      <c r="C162" s="2" t="s">
        <v>279</v>
      </c>
      <c r="D162" s="6">
        <v>348.21</v>
      </c>
      <c r="E162" s="6">
        <v>5.0</v>
      </c>
      <c r="F162" s="7">
        <v>1741.05</v>
      </c>
      <c r="G162" s="2" t="s">
        <v>546</v>
      </c>
      <c r="H162" s="2" t="s">
        <v>547</v>
      </c>
      <c r="I162" s="2" t="s">
        <v>548</v>
      </c>
    </row>
    <row r="163" ht="15.75" customHeight="1">
      <c r="A163" s="1">
        <v>45588.0</v>
      </c>
      <c r="B163" s="3" t="s">
        <v>29</v>
      </c>
      <c r="C163" s="2" t="s">
        <v>79</v>
      </c>
      <c r="D163" s="6">
        <v>324.46</v>
      </c>
      <c r="E163" s="6">
        <v>2.0</v>
      </c>
      <c r="F163" s="7">
        <v>648.92</v>
      </c>
      <c r="G163" s="2" t="s">
        <v>549</v>
      </c>
      <c r="H163" s="2" t="s">
        <v>550</v>
      </c>
      <c r="I163" s="2" t="s">
        <v>551</v>
      </c>
    </row>
    <row r="164" ht="15.75" customHeight="1">
      <c r="A164" s="1">
        <v>45588.0</v>
      </c>
      <c r="B164" s="3" t="s">
        <v>74</v>
      </c>
      <c r="C164" s="2" t="s">
        <v>53</v>
      </c>
      <c r="D164" s="6">
        <v>796.3</v>
      </c>
      <c r="E164" s="6">
        <v>4.0</v>
      </c>
      <c r="F164" s="7">
        <v>3185.2</v>
      </c>
      <c r="G164" s="2" t="s">
        <v>552</v>
      </c>
      <c r="H164" s="2" t="s">
        <v>553</v>
      </c>
      <c r="I164" s="2" t="s">
        <v>554</v>
      </c>
    </row>
    <row r="165" ht="15.75" customHeight="1">
      <c r="A165" s="1">
        <v>45588.0</v>
      </c>
      <c r="B165" s="3" t="s">
        <v>9</v>
      </c>
      <c r="C165" s="2" t="s">
        <v>187</v>
      </c>
      <c r="D165" s="6">
        <v>1327.27</v>
      </c>
      <c r="E165" s="6">
        <v>2.0</v>
      </c>
      <c r="F165" s="7">
        <v>2654.54</v>
      </c>
      <c r="G165" s="2" t="s">
        <v>555</v>
      </c>
      <c r="H165" s="2" t="s">
        <v>556</v>
      </c>
      <c r="I165" s="8" t="s">
        <v>557</v>
      </c>
    </row>
    <row r="166" ht="15.75" customHeight="1">
      <c r="A166" s="1">
        <v>45588.0</v>
      </c>
      <c r="B166" s="2" t="s">
        <v>34</v>
      </c>
      <c r="C166" s="2" t="s">
        <v>169</v>
      </c>
      <c r="D166" s="6">
        <v>2384.86</v>
      </c>
      <c r="E166" s="6">
        <v>4.0</v>
      </c>
      <c r="F166" s="7">
        <v>9539.44</v>
      </c>
      <c r="G166" s="2" t="s">
        <v>558</v>
      </c>
      <c r="H166" s="2" t="s">
        <v>559</v>
      </c>
      <c r="I166" s="2" t="s">
        <v>560</v>
      </c>
    </row>
    <row r="167" ht="15.75" customHeight="1">
      <c r="A167" s="1">
        <v>45588.0</v>
      </c>
      <c r="B167" s="2" t="s">
        <v>34</v>
      </c>
      <c r="C167" s="2" t="s">
        <v>88</v>
      </c>
      <c r="D167" s="6">
        <v>379.64</v>
      </c>
      <c r="E167" s="6">
        <v>3.0</v>
      </c>
      <c r="F167" s="7">
        <v>1138.92</v>
      </c>
      <c r="G167" s="2" t="s">
        <v>561</v>
      </c>
      <c r="H167" s="2" t="s">
        <v>562</v>
      </c>
      <c r="I167" s="2" t="s">
        <v>563</v>
      </c>
    </row>
    <row r="168" ht="15.75" customHeight="1">
      <c r="A168" s="1">
        <v>45588.0</v>
      </c>
      <c r="B168" s="2" t="s">
        <v>57</v>
      </c>
      <c r="C168" s="2" t="s">
        <v>30</v>
      </c>
      <c r="D168" s="6">
        <v>1582.73</v>
      </c>
      <c r="E168" s="6">
        <v>2.0</v>
      </c>
      <c r="F168" s="7">
        <v>3165.46</v>
      </c>
      <c r="G168" s="2" t="s">
        <v>564</v>
      </c>
      <c r="H168" s="2" t="s">
        <v>565</v>
      </c>
      <c r="I168" s="2" t="s">
        <v>566</v>
      </c>
    </row>
    <row r="169" ht="15.75" customHeight="1">
      <c r="A169" s="1">
        <v>45588.0</v>
      </c>
      <c r="B169" s="3" t="s">
        <v>74</v>
      </c>
      <c r="C169" s="2" t="s">
        <v>92</v>
      </c>
      <c r="D169" s="6">
        <v>1362.97</v>
      </c>
      <c r="E169" s="6">
        <v>1.0</v>
      </c>
      <c r="F169" s="7">
        <v>1362.97</v>
      </c>
      <c r="G169" s="2" t="s">
        <v>567</v>
      </c>
      <c r="H169" s="2" t="s">
        <v>568</v>
      </c>
      <c r="I169" s="2" t="s">
        <v>569</v>
      </c>
    </row>
    <row r="170" ht="15.75" customHeight="1">
      <c r="A170" s="1">
        <v>45588.0</v>
      </c>
      <c r="B170" s="3" t="s">
        <v>14</v>
      </c>
      <c r="C170" s="2" t="s">
        <v>570</v>
      </c>
      <c r="D170" s="6">
        <v>1817.8</v>
      </c>
      <c r="E170" s="6">
        <v>3.0</v>
      </c>
      <c r="F170" s="7">
        <v>5453.4</v>
      </c>
      <c r="G170" s="2" t="s">
        <v>571</v>
      </c>
      <c r="H170" s="2" t="s">
        <v>572</v>
      </c>
      <c r="I170" s="2" t="s">
        <v>573</v>
      </c>
    </row>
    <row r="171" ht="15.75" customHeight="1">
      <c r="A171" s="1">
        <v>45589.0</v>
      </c>
      <c r="B171" s="3" t="s">
        <v>74</v>
      </c>
      <c r="C171" s="2" t="s">
        <v>39</v>
      </c>
      <c r="D171" s="6">
        <v>1962.79</v>
      </c>
      <c r="E171" s="6">
        <v>3.0</v>
      </c>
      <c r="F171" s="7">
        <v>5888.37</v>
      </c>
      <c r="G171" s="2" t="s">
        <v>574</v>
      </c>
      <c r="H171" s="2" t="s">
        <v>575</v>
      </c>
      <c r="I171" s="2" t="s">
        <v>576</v>
      </c>
    </row>
    <row r="172" ht="15.75" customHeight="1">
      <c r="A172" s="1">
        <v>45589.0</v>
      </c>
      <c r="B172" s="3" t="s">
        <v>74</v>
      </c>
      <c r="C172" s="2" t="s">
        <v>35</v>
      </c>
      <c r="D172" s="6">
        <v>785.65</v>
      </c>
      <c r="E172" s="6">
        <v>1.0</v>
      </c>
      <c r="F172" s="7">
        <v>785.65</v>
      </c>
      <c r="G172" s="2" t="s">
        <v>577</v>
      </c>
      <c r="H172" s="2" t="s">
        <v>578</v>
      </c>
      <c r="I172" s="2" t="s">
        <v>579</v>
      </c>
    </row>
    <row r="173" ht="15.75" customHeight="1">
      <c r="A173" s="1">
        <v>45589.0</v>
      </c>
      <c r="B173" s="2" t="s">
        <v>34</v>
      </c>
      <c r="C173" s="2" t="s">
        <v>370</v>
      </c>
      <c r="D173" s="6">
        <v>747.11</v>
      </c>
      <c r="E173" s="6">
        <v>5.0</v>
      </c>
      <c r="F173" s="7">
        <v>3735.55</v>
      </c>
      <c r="G173" s="2" t="s">
        <v>580</v>
      </c>
      <c r="H173" s="2" t="s">
        <v>581</v>
      </c>
      <c r="I173" s="2" t="s">
        <v>582</v>
      </c>
    </row>
    <row r="174" ht="15.75" customHeight="1">
      <c r="A174" s="1">
        <v>45589.0</v>
      </c>
      <c r="B174" s="3" t="s">
        <v>29</v>
      </c>
      <c r="C174" s="2" t="s">
        <v>10</v>
      </c>
      <c r="D174" s="6">
        <v>1030.99</v>
      </c>
      <c r="E174" s="6">
        <v>1.0</v>
      </c>
      <c r="F174" s="7">
        <v>1030.99</v>
      </c>
      <c r="G174" s="2" t="s">
        <v>583</v>
      </c>
      <c r="H174" s="2" t="s">
        <v>584</v>
      </c>
      <c r="I174" s="2" t="s">
        <v>585</v>
      </c>
    </row>
    <row r="175" ht="15.75" customHeight="1">
      <c r="A175" s="1">
        <v>45589.0</v>
      </c>
      <c r="B175" s="2" t="s">
        <v>57</v>
      </c>
      <c r="C175" s="2" t="s">
        <v>53</v>
      </c>
      <c r="D175" s="6">
        <v>486.27</v>
      </c>
      <c r="E175" s="6">
        <v>5.0</v>
      </c>
      <c r="F175" s="7">
        <v>2431.35</v>
      </c>
      <c r="G175" s="3" t="s">
        <v>586</v>
      </c>
      <c r="H175" s="2" t="s">
        <v>587</v>
      </c>
      <c r="I175" s="2" t="s">
        <v>588</v>
      </c>
    </row>
    <row r="176" ht="15.75" customHeight="1">
      <c r="A176" s="1">
        <v>45589.0</v>
      </c>
      <c r="B176" s="3" t="s">
        <v>9</v>
      </c>
      <c r="C176" s="2" t="s">
        <v>165</v>
      </c>
      <c r="D176" s="6">
        <v>1518.43</v>
      </c>
      <c r="E176" s="6">
        <v>5.0</v>
      </c>
      <c r="F176" s="7">
        <v>7592.15</v>
      </c>
      <c r="G176" s="2" t="s">
        <v>589</v>
      </c>
      <c r="H176" s="2" t="s">
        <v>590</v>
      </c>
      <c r="I176" s="2" t="s">
        <v>591</v>
      </c>
    </row>
    <row r="177" ht="15.75" customHeight="1">
      <c r="A177" s="1">
        <v>45589.0</v>
      </c>
      <c r="B177" s="3" t="s">
        <v>14</v>
      </c>
      <c r="C177" s="2" t="s">
        <v>130</v>
      </c>
      <c r="D177" s="6">
        <v>2100.84</v>
      </c>
      <c r="E177" s="6">
        <v>5.0</v>
      </c>
      <c r="F177" s="7">
        <v>10504.2</v>
      </c>
      <c r="G177" s="2" t="s">
        <v>592</v>
      </c>
      <c r="H177" s="2" t="s">
        <v>593</v>
      </c>
      <c r="I177" s="2" t="s">
        <v>594</v>
      </c>
    </row>
    <row r="178" ht="15.75" customHeight="1">
      <c r="A178" s="1">
        <v>45589.0</v>
      </c>
      <c r="B178" s="3" t="s">
        <v>74</v>
      </c>
      <c r="C178" s="2" t="s">
        <v>269</v>
      </c>
      <c r="D178" s="6">
        <v>1261.22</v>
      </c>
      <c r="E178" s="6">
        <v>2.0</v>
      </c>
      <c r="F178" s="7">
        <v>2522.44</v>
      </c>
      <c r="G178" s="2" t="s">
        <v>595</v>
      </c>
      <c r="H178" s="2" t="s">
        <v>596</v>
      </c>
      <c r="I178" s="2" t="s">
        <v>597</v>
      </c>
    </row>
    <row r="179" ht="15.75" customHeight="1">
      <c r="A179" s="1">
        <v>45589.0</v>
      </c>
      <c r="B179" s="3" t="s">
        <v>74</v>
      </c>
      <c r="C179" s="2" t="s">
        <v>15</v>
      </c>
      <c r="D179" s="6">
        <v>2418.11</v>
      </c>
      <c r="E179" s="6">
        <v>1.0</v>
      </c>
      <c r="F179" s="7">
        <v>2418.11</v>
      </c>
      <c r="G179" s="2" t="s">
        <v>598</v>
      </c>
      <c r="H179" s="2" t="s">
        <v>599</v>
      </c>
      <c r="I179" s="2" t="s">
        <v>600</v>
      </c>
    </row>
    <row r="180" ht="15.75" customHeight="1">
      <c r="A180" s="1">
        <v>45589.0</v>
      </c>
      <c r="B180" s="3" t="s">
        <v>29</v>
      </c>
      <c r="C180" s="2" t="s">
        <v>66</v>
      </c>
      <c r="D180" s="6">
        <v>2499.77</v>
      </c>
      <c r="E180" s="6">
        <v>3.0</v>
      </c>
      <c r="F180" s="7">
        <v>7499.31</v>
      </c>
      <c r="G180" s="2" t="s">
        <v>601</v>
      </c>
      <c r="H180" s="2" t="s">
        <v>602</v>
      </c>
      <c r="I180" s="2" t="s">
        <v>603</v>
      </c>
    </row>
    <row r="181" ht="15.75" customHeight="1">
      <c r="A181" s="1">
        <v>45589.0</v>
      </c>
      <c r="B181" s="3" t="s">
        <v>74</v>
      </c>
      <c r="C181" s="2" t="s">
        <v>119</v>
      </c>
      <c r="D181" s="6">
        <v>1228.74</v>
      </c>
      <c r="E181" s="6">
        <v>2.0</v>
      </c>
      <c r="F181" s="7">
        <v>2457.48</v>
      </c>
      <c r="G181" s="2" t="s">
        <v>604</v>
      </c>
      <c r="H181" s="2" t="s">
        <v>605</v>
      </c>
      <c r="I181" s="2" t="s">
        <v>606</v>
      </c>
    </row>
    <row r="182" ht="15.75" customHeight="1">
      <c r="A182" s="1">
        <v>45589.0</v>
      </c>
      <c r="B182" s="3" t="s">
        <v>29</v>
      </c>
      <c r="C182" s="2" t="s">
        <v>269</v>
      </c>
      <c r="D182" s="6">
        <v>1901.74</v>
      </c>
      <c r="E182" s="6">
        <v>4.0</v>
      </c>
      <c r="F182" s="7">
        <v>7606.96</v>
      </c>
      <c r="G182" s="2" t="s">
        <v>607</v>
      </c>
      <c r="H182" s="2" t="s">
        <v>608</v>
      </c>
      <c r="I182" s="2" t="s">
        <v>609</v>
      </c>
    </row>
    <row r="183" ht="15.75" customHeight="1">
      <c r="A183" s="1">
        <v>45589.0</v>
      </c>
      <c r="B183" s="3" t="s">
        <v>29</v>
      </c>
      <c r="C183" s="2" t="s">
        <v>10</v>
      </c>
      <c r="D183" s="2"/>
      <c r="E183" s="6">
        <v>5.0</v>
      </c>
      <c r="F183" s="7">
        <v>3716.95</v>
      </c>
      <c r="G183" s="2" t="s">
        <v>610</v>
      </c>
      <c r="H183" s="2" t="s">
        <v>611</v>
      </c>
      <c r="I183" s="2" t="s">
        <v>612</v>
      </c>
    </row>
    <row r="184" ht="15.75" customHeight="1">
      <c r="A184" s="1">
        <v>45590.0</v>
      </c>
      <c r="B184" s="3" t="s">
        <v>29</v>
      </c>
      <c r="C184" s="2" t="s">
        <v>123</v>
      </c>
      <c r="D184" s="6">
        <v>2095.64</v>
      </c>
      <c r="E184" s="6">
        <v>5.0</v>
      </c>
      <c r="F184" s="7">
        <v>10478.2</v>
      </c>
      <c r="G184" s="2" t="s">
        <v>613</v>
      </c>
      <c r="H184" s="2" t="s">
        <v>614</v>
      </c>
      <c r="I184" s="2" t="s">
        <v>615</v>
      </c>
    </row>
    <row r="185" ht="15.75" customHeight="1">
      <c r="A185" s="1">
        <v>45590.0</v>
      </c>
      <c r="B185" s="3" t="s">
        <v>74</v>
      </c>
      <c r="C185" s="2" t="s">
        <v>230</v>
      </c>
      <c r="D185" s="6">
        <v>1062.11</v>
      </c>
      <c r="E185" s="6">
        <v>2.0</v>
      </c>
      <c r="F185" s="7">
        <v>2124.22</v>
      </c>
      <c r="G185" s="2" t="s">
        <v>616</v>
      </c>
      <c r="H185" s="2" t="s">
        <v>617</v>
      </c>
      <c r="I185" s="2" t="s">
        <v>618</v>
      </c>
    </row>
    <row r="186" ht="15.75" customHeight="1">
      <c r="A186" s="1">
        <v>45590.0</v>
      </c>
      <c r="B186" s="3" t="s">
        <v>29</v>
      </c>
      <c r="C186" s="2" t="s">
        <v>169</v>
      </c>
      <c r="D186" s="6">
        <v>1363.09</v>
      </c>
      <c r="E186" s="6">
        <v>5.0</v>
      </c>
      <c r="F186" s="7">
        <v>6815.45</v>
      </c>
      <c r="G186" s="2" t="s">
        <v>619</v>
      </c>
      <c r="H186" s="2" t="s">
        <v>620</v>
      </c>
      <c r="I186" s="2" t="s">
        <v>621</v>
      </c>
    </row>
    <row r="187" ht="15.75" customHeight="1">
      <c r="A187" s="1">
        <v>45590.0</v>
      </c>
      <c r="B187" s="3" t="s">
        <v>29</v>
      </c>
      <c r="C187" s="2" t="s">
        <v>49</v>
      </c>
      <c r="D187" s="6">
        <v>1468.39</v>
      </c>
      <c r="E187" s="6">
        <v>1.0</v>
      </c>
      <c r="F187" s="7">
        <v>1468.39</v>
      </c>
      <c r="G187" s="2" t="s">
        <v>622</v>
      </c>
      <c r="H187" s="2" t="s">
        <v>623</v>
      </c>
      <c r="I187" s="2" t="s">
        <v>624</v>
      </c>
    </row>
    <row r="188" ht="15.75" customHeight="1">
      <c r="A188" s="1">
        <v>45590.0</v>
      </c>
      <c r="B188" s="2" t="s">
        <v>34</v>
      </c>
      <c r="C188" s="2" t="s">
        <v>279</v>
      </c>
      <c r="D188" s="6">
        <v>1823.15</v>
      </c>
      <c r="E188" s="6">
        <v>5.0</v>
      </c>
      <c r="F188" s="7">
        <v>9115.75</v>
      </c>
      <c r="G188" s="2" t="s">
        <v>625</v>
      </c>
      <c r="H188" s="2" t="s">
        <v>626</v>
      </c>
      <c r="I188" s="2" t="s">
        <v>627</v>
      </c>
    </row>
    <row r="189" ht="15.75" customHeight="1">
      <c r="A189" s="1">
        <v>45590.0</v>
      </c>
      <c r="B189" s="2" t="s">
        <v>57</v>
      </c>
      <c r="C189" s="2" t="s">
        <v>427</v>
      </c>
      <c r="D189" s="6">
        <v>2242.64</v>
      </c>
      <c r="E189" s="6">
        <v>4.0</v>
      </c>
      <c r="F189" s="7">
        <v>8970.56</v>
      </c>
      <c r="G189" s="2" t="s">
        <v>628</v>
      </c>
      <c r="H189" s="2" t="s">
        <v>629</v>
      </c>
      <c r="I189" s="2" t="s">
        <v>630</v>
      </c>
    </row>
    <row r="190" ht="15.75" customHeight="1">
      <c r="A190" s="1">
        <v>45590.0</v>
      </c>
      <c r="B190" s="2" t="s">
        <v>57</v>
      </c>
      <c r="C190" s="2" t="s">
        <v>427</v>
      </c>
      <c r="D190" s="6">
        <v>1260.9</v>
      </c>
      <c r="E190" s="6">
        <v>3.0</v>
      </c>
      <c r="F190" s="7">
        <v>3782.7</v>
      </c>
      <c r="G190" s="2" t="s">
        <v>631</v>
      </c>
      <c r="H190" s="2" t="s">
        <v>632</v>
      </c>
      <c r="I190" s="2" t="s">
        <v>633</v>
      </c>
    </row>
    <row r="191" ht="15.75" customHeight="1">
      <c r="A191" s="1">
        <v>45590.0</v>
      </c>
      <c r="B191" s="2" t="s">
        <v>57</v>
      </c>
      <c r="C191" s="2" t="s">
        <v>58</v>
      </c>
      <c r="D191" s="6">
        <v>2382.64</v>
      </c>
      <c r="E191" s="6">
        <v>4.0</v>
      </c>
      <c r="F191" s="7">
        <v>9530.56</v>
      </c>
      <c r="G191" s="2" t="s">
        <v>634</v>
      </c>
      <c r="H191" s="2" t="s">
        <v>635</v>
      </c>
      <c r="I191" s="2" t="s">
        <v>636</v>
      </c>
    </row>
    <row r="192" ht="15.75" customHeight="1">
      <c r="A192" s="1">
        <v>45591.0</v>
      </c>
      <c r="B192" s="3" t="s">
        <v>14</v>
      </c>
      <c r="C192" s="2" t="s">
        <v>637</v>
      </c>
      <c r="D192" s="6">
        <v>919.0</v>
      </c>
      <c r="E192" s="6">
        <v>5.0</v>
      </c>
      <c r="F192" s="7">
        <v>4595.0</v>
      </c>
      <c r="G192" s="2" t="s">
        <v>638</v>
      </c>
      <c r="H192" s="2" t="s">
        <v>639</v>
      </c>
      <c r="I192" s="2" t="s">
        <v>640</v>
      </c>
    </row>
    <row r="193" ht="15.75" customHeight="1">
      <c r="A193" s="1">
        <v>45591.0</v>
      </c>
      <c r="B193" s="3" t="s">
        <v>14</v>
      </c>
      <c r="C193" s="2" t="s">
        <v>366</v>
      </c>
      <c r="D193" s="6">
        <v>1631.22</v>
      </c>
      <c r="E193" s="6">
        <v>5.0</v>
      </c>
      <c r="F193" s="7">
        <v>8156.1</v>
      </c>
      <c r="G193" s="2" t="s">
        <v>641</v>
      </c>
      <c r="H193" s="2" t="s">
        <v>642</v>
      </c>
      <c r="I193" s="2" t="s">
        <v>643</v>
      </c>
    </row>
    <row r="194" ht="15.75" customHeight="1">
      <c r="A194" s="1">
        <v>45591.0</v>
      </c>
      <c r="B194" s="3" t="s">
        <v>14</v>
      </c>
      <c r="C194" s="2" t="s">
        <v>70</v>
      </c>
      <c r="D194" s="6">
        <v>2101.18</v>
      </c>
      <c r="E194" s="6">
        <v>4.0</v>
      </c>
      <c r="F194" s="7">
        <v>8404.72</v>
      </c>
      <c r="G194" s="2" t="s">
        <v>644</v>
      </c>
      <c r="H194" s="2" t="s">
        <v>645</v>
      </c>
      <c r="I194" s="2" t="s">
        <v>646</v>
      </c>
    </row>
    <row r="195" ht="15.75" customHeight="1">
      <c r="A195" s="1">
        <v>45591.0</v>
      </c>
      <c r="B195" s="3" t="s">
        <v>14</v>
      </c>
      <c r="C195" s="2" t="s">
        <v>341</v>
      </c>
      <c r="D195" s="6">
        <v>1868.91</v>
      </c>
      <c r="E195" s="6">
        <v>5.0</v>
      </c>
      <c r="F195" s="7">
        <v>9344.55</v>
      </c>
      <c r="G195" s="2" t="s">
        <v>647</v>
      </c>
      <c r="H195" s="2" t="s">
        <v>648</v>
      </c>
      <c r="I195" s="2" t="s">
        <v>649</v>
      </c>
    </row>
    <row r="196" ht="15.75" customHeight="1">
      <c r="A196" s="1">
        <v>45591.0</v>
      </c>
      <c r="B196" s="3" t="s">
        <v>14</v>
      </c>
      <c r="C196" s="2" t="s">
        <v>10</v>
      </c>
      <c r="D196" s="6">
        <v>1898.24</v>
      </c>
      <c r="E196" s="6">
        <v>1.0</v>
      </c>
      <c r="F196" s="7">
        <v>1898.24</v>
      </c>
      <c r="G196" s="2" t="s">
        <v>650</v>
      </c>
      <c r="H196" s="2" t="s">
        <v>651</v>
      </c>
      <c r="I196" s="2" t="s">
        <v>652</v>
      </c>
    </row>
    <row r="197" ht="15.75" customHeight="1">
      <c r="A197" s="1">
        <v>45591.0</v>
      </c>
      <c r="B197" s="3" t="s">
        <v>74</v>
      </c>
      <c r="C197" s="2" t="s">
        <v>119</v>
      </c>
      <c r="D197" s="6">
        <v>611.99</v>
      </c>
      <c r="E197" s="6">
        <v>2.0</v>
      </c>
      <c r="F197" s="7">
        <v>1223.98</v>
      </c>
      <c r="G197" s="2" t="s">
        <v>653</v>
      </c>
      <c r="H197" s="2" t="s">
        <v>654</v>
      </c>
      <c r="I197" s="2" t="s">
        <v>655</v>
      </c>
    </row>
    <row r="198" ht="15.75" customHeight="1">
      <c r="A198" s="1">
        <v>45591.0</v>
      </c>
      <c r="B198" s="3" t="s">
        <v>74</v>
      </c>
      <c r="C198" s="2" t="s">
        <v>123</v>
      </c>
      <c r="D198" s="6">
        <v>403.48</v>
      </c>
      <c r="E198" s="6">
        <v>2.0</v>
      </c>
      <c r="F198" s="7">
        <v>806.96</v>
      </c>
      <c r="G198" s="2" t="s">
        <v>656</v>
      </c>
      <c r="H198" s="2" t="s">
        <v>657</v>
      </c>
      <c r="I198" s="2" t="s">
        <v>658</v>
      </c>
    </row>
    <row r="199" ht="15.75" customHeight="1">
      <c r="A199" s="1">
        <v>45591.0</v>
      </c>
      <c r="B199" s="3" t="s">
        <v>74</v>
      </c>
      <c r="C199" s="2" t="s">
        <v>88</v>
      </c>
      <c r="D199" s="6">
        <v>724.28</v>
      </c>
      <c r="E199" s="6">
        <v>4.0</v>
      </c>
      <c r="F199" s="7">
        <v>2897.12</v>
      </c>
      <c r="G199" s="2" t="s">
        <v>659</v>
      </c>
      <c r="H199" s="2" t="s">
        <v>660</v>
      </c>
      <c r="I199" s="2" t="s">
        <v>661</v>
      </c>
    </row>
    <row r="200" ht="15.75" customHeight="1">
      <c r="A200" s="1">
        <v>45591.0</v>
      </c>
      <c r="B200" s="2" t="s">
        <v>34</v>
      </c>
      <c r="C200" s="2" t="s">
        <v>662</v>
      </c>
      <c r="D200" s="6">
        <v>174.28</v>
      </c>
      <c r="E200" s="6">
        <v>1.0</v>
      </c>
      <c r="F200" s="7">
        <v>174.28</v>
      </c>
      <c r="G200" s="2" t="s">
        <v>663</v>
      </c>
      <c r="H200" s="2" t="s">
        <v>664</v>
      </c>
      <c r="I200" s="2" t="s">
        <v>665</v>
      </c>
    </row>
    <row r="201" ht="15.75" customHeight="1">
      <c r="A201" s="1">
        <v>45592.0</v>
      </c>
      <c r="B201" s="3" t="s">
        <v>74</v>
      </c>
      <c r="C201" s="2" t="s">
        <v>169</v>
      </c>
      <c r="D201" s="6">
        <v>273.42</v>
      </c>
      <c r="E201" s="6">
        <v>4.0</v>
      </c>
      <c r="F201" s="7">
        <v>1093.68</v>
      </c>
      <c r="G201" s="2" t="s">
        <v>666</v>
      </c>
      <c r="H201" s="2" t="s">
        <v>667</v>
      </c>
      <c r="I201" s="2" t="s">
        <v>668</v>
      </c>
    </row>
    <row r="202" ht="15.75" customHeight="1">
      <c r="A202" s="1">
        <v>45592.0</v>
      </c>
      <c r="B202" s="3" t="s">
        <v>29</v>
      </c>
      <c r="C202" s="2" t="s">
        <v>366</v>
      </c>
      <c r="D202" s="6">
        <v>1437.75</v>
      </c>
      <c r="E202" s="6">
        <v>5.0</v>
      </c>
      <c r="F202" s="7">
        <v>7188.75</v>
      </c>
      <c r="G202" s="2" t="s">
        <v>669</v>
      </c>
      <c r="H202" s="2" t="s">
        <v>670</v>
      </c>
      <c r="I202" s="2" t="s">
        <v>671</v>
      </c>
    </row>
    <row r="203" ht="15.75" customHeight="1">
      <c r="A203" s="1">
        <v>45592.0</v>
      </c>
      <c r="B203" s="3" t="s">
        <v>14</v>
      </c>
      <c r="C203" s="2" t="s">
        <v>35</v>
      </c>
      <c r="D203" s="6">
        <v>1092.45</v>
      </c>
      <c r="E203" s="6">
        <v>3.0</v>
      </c>
      <c r="F203" s="7">
        <v>3277.35</v>
      </c>
      <c r="G203" s="2" t="s">
        <v>672</v>
      </c>
      <c r="H203" s="2" t="s">
        <v>673</v>
      </c>
      <c r="I203" s="2" t="s">
        <v>674</v>
      </c>
    </row>
    <row r="204" ht="15.75" customHeight="1">
      <c r="A204" s="1">
        <v>45592.0</v>
      </c>
      <c r="B204" s="3" t="s">
        <v>29</v>
      </c>
      <c r="C204" s="2" t="s">
        <v>79</v>
      </c>
      <c r="D204" s="6">
        <v>233.85</v>
      </c>
      <c r="E204" s="6">
        <v>3.0</v>
      </c>
      <c r="F204" s="7">
        <v>701.55</v>
      </c>
      <c r="G204" s="2" t="s">
        <v>675</v>
      </c>
      <c r="H204" s="2" t="s">
        <v>676</v>
      </c>
      <c r="I204" s="2" t="s">
        <v>677</v>
      </c>
    </row>
    <row r="205" ht="15.75" customHeight="1">
      <c r="A205" s="1">
        <v>45592.0</v>
      </c>
      <c r="B205" s="2" t="s">
        <v>34</v>
      </c>
      <c r="C205" s="2" t="s">
        <v>10</v>
      </c>
      <c r="D205" s="6">
        <v>832.37</v>
      </c>
      <c r="E205" s="6">
        <v>2.0</v>
      </c>
      <c r="F205" s="7">
        <v>1664.74</v>
      </c>
      <c r="G205" s="2" t="s">
        <v>678</v>
      </c>
      <c r="H205" s="2" t="s">
        <v>679</v>
      </c>
      <c r="I205" s="2" t="s">
        <v>680</v>
      </c>
    </row>
    <row r="206" ht="15.75" customHeight="1">
      <c r="A206" s="1">
        <v>45592.0</v>
      </c>
      <c r="B206" s="2" t="s">
        <v>34</v>
      </c>
      <c r="C206" s="2" t="s">
        <v>62</v>
      </c>
      <c r="D206" s="6">
        <v>755.38</v>
      </c>
      <c r="E206" s="6">
        <v>4.0</v>
      </c>
      <c r="F206" s="7">
        <v>3021.52</v>
      </c>
      <c r="G206" s="2" t="s">
        <v>681</v>
      </c>
      <c r="H206" s="2" t="s">
        <v>682</v>
      </c>
      <c r="I206" s="2" t="s">
        <v>683</v>
      </c>
    </row>
    <row r="207" ht="15.75" customHeight="1">
      <c r="A207" s="1">
        <v>45592.0</v>
      </c>
      <c r="B207" s="3" t="s">
        <v>29</v>
      </c>
      <c r="C207" s="2" t="s">
        <v>83</v>
      </c>
      <c r="D207" s="6">
        <v>1237.66</v>
      </c>
      <c r="E207" s="6">
        <v>1.0</v>
      </c>
      <c r="F207" s="7">
        <v>1237.66</v>
      </c>
      <c r="G207" s="2" t="s">
        <v>684</v>
      </c>
      <c r="H207" s="2" t="s">
        <v>685</v>
      </c>
      <c r="I207" s="2" t="s">
        <v>686</v>
      </c>
    </row>
    <row r="208" ht="15.75" customHeight="1">
      <c r="A208" s="1">
        <v>45592.0</v>
      </c>
      <c r="B208" s="2" t="s">
        <v>57</v>
      </c>
      <c r="C208" s="2" t="s">
        <v>662</v>
      </c>
      <c r="D208" s="6">
        <v>986.08</v>
      </c>
      <c r="E208" s="6">
        <v>4.0</v>
      </c>
      <c r="F208" s="7">
        <v>3944.32</v>
      </c>
      <c r="G208" s="2" t="s">
        <v>687</v>
      </c>
      <c r="H208" s="2" t="s">
        <v>688</v>
      </c>
      <c r="I208" s="2" t="s">
        <v>689</v>
      </c>
    </row>
    <row r="209" ht="15.75" customHeight="1">
      <c r="A209" s="1">
        <v>45592.0</v>
      </c>
      <c r="B209" s="3" t="s">
        <v>29</v>
      </c>
      <c r="C209" s="2" t="s">
        <v>22</v>
      </c>
      <c r="D209" s="6">
        <v>1984.42</v>
      </c>
      <c r="E209" s="6">
        <v>4.0</v>
      </c>
      <c r="F209" s="7">
        <v>7937.68</v>
      </c>
      <c r="G209" s="2" t="s">
        <v>690</v>
      </c>
      <c r="H209" s="2" t="s">
        <v>691</v>
      </c>
      <c r="I209" s="2" t="s">
        <v>692</v>
      </c>
    </row>
    <row r="210" ht="15.75" customHeight="1">
      <c r="A210" s="1">
        <v>45593.0</v>
      </c>
      <c r="B210" s="2" t="s">
        <v>57</v>
      </c>
      <c r="C210" s="2" t="s">
        <v>427</v>
      </c>
      <c r="D210" s="6">
        <v>1537.12</v>
      </c>
      <c r="E210" s="6">
        <v>2.0</v>
      </c>
      <c r="F210" s="7">
        <v>3074.24</v>
      </c>
      <c r="G210" s="2" t="s">
        <v>693</v>
      </c>
      <c r="H210" s="2" t="s">
        <v>694</v>
      </c>
      <c r="I210" s="2" t="s">
        <v>695</v>
      </c>
    </row>
    <row r="211" ht="15.75" customHeight="1">
      <c r="A211" s="1">
        <v>45593.0</v>
      </c>
      <c r="B211" s="3" t="s">
        <v>29</v>
      </c>
      <c r="C211" s="2" t="s">
        <v>22</v>
      </c>
      <c r="D211" s="6">
        <v>1832.39</v>
      </c>
      <c r="E211" s="6">
        <v>4.0</v>
      </c>
      <c r="F211" s="7">
        <v>7329.56</v>
      </c>
      <c r="G211" s="2" t="s">
        <v>696</v>
      </c>
      <c r="H211" s="2" t="s">
        <v>697</v>
      </c>
      <c r="I211" s="2" t="s">
        <v>698</v>
      </c>
    </row>
    <row r="212" ht="15.75" customHeight="1">
      <c r="A212" s="1">
        <v>45593.0</v>
      </c>
      <c r="B212" s="3" t="s">
        <v>74</v>
      </c>
      <c r="C212" s="2" t="s">
        <v>161</v>
      </c>
      <c r="D212" s="6">
        <v>1834.12</v>
      </c>
      <c r="E212" s="6">
        <v>1.0</v>
      </c>
      <c r="F212" s="7">
        <v>1834.12</v>
      </c>
      <c r="G212" s="2" t="s">
        <v>699</v>
      </c>
      <c r="H212" s="2" t="s">
        <v>700</v>
      </c>
      <c r="I212" s="2" t="s">
        <v>701</v>
      </c>
    </row>
    <row r="213" ht="15.75" customHeight="1">
      <c r="A213" s="1">
        <v>45593.0</v>
      </c>
      <c r="B213" s="3" t="s">
        <v>9</v>
      </c>
      <c r="C213" s="2" t="s">
        <v>183</v>
      </c>
      <c r="D213" s="6">
        <v>1779.34</v>
      </c>
      <c r="E213" s="6">
        <v>3.0</v>
      </c>
      <c r="F213" s="7">
        <v>5338.02</v>
      </c>
      <c r="G213" s="2" t="s">
        <v>702</v>
      </c>
      <c r="H213" s="2" t="s">
        <v>703</v>
      </c>
      <c r="I213" s="2" t="s">
        <v>704</v>
      </c>
    </row>
    <row r="214" ht="15.75" customHeight="1">
      <c r="A214" s="1">
        <v>45593.0</v>
      </c>
      <c r="B214" s="3" t="s">
        <v>29</v>
      </c>
      <c r="C214" s="2" t="s">
        <v>161</v>
      </c>
      <c r="D214" s="6">
        <v>2484.65</v>
      </c>
      <c r="E214" s="6">
        <v>2.0</v>
      </c>
      <c r="F214" s="7">
        <v>4969.3</v>
      </c>
      <c r="G214" s="2" t="s">
        <v>705</v>
      </c>
      <c r="H214" s="2" t="s">
        <v>706</v>
      </c>
      <c r="I214" s="2" t="s">
        <v>707</v>
      </c>
    </row>
    <row r="215" ht="15.75" customHeight="1">
      <c r="A215" s="1">
        <v>45593.0</v>
      </c>
      <c r="B215" s="2" t="s">
        <v>34</v>
      </c>
      <c r="C215" s="2" t="s">
        <v>222</v>
      </c>
      <c r="D215" s="6">
        <v>371.09</v>
      </c>
      <c r="E215" s="6">
        <v>4.0</v>
      </c>
      <c r="F215" s="7">
        <v>1484.36</v>
      </c>
      <c r="G215" s="2" t="s">
        <v>708</v>
      </c>
      <c r="H215" s="2" t="s">
        <v>709</v>
      </c>
      <c r="I215" s="2" t="s">
        <v>710</v>
      </c>
    </row>
    <row r="216" ht="15.75" customHeight="1">
      <c r="A216" s="1">
        <v>45593.0</v>
      </c>
      <c r="B216" s="3" t="s">
        <v>14</v>
      </c>
      <c r="C216" s="2" t="s">
        <v>130</v>
      </c>
      <c r="D216" s="6">
        <v>2493.45</v>
      </c>
      <c r="E216" s="6">
        <v>2.0</v>
      </c>
      <c r="F216" s="7">
        <v>4986.9</v>
      </c>
      <c r="G216" s="2" t="s">
        <v>711</v>
      </c>
      <c r="H216" s="2" t="s">
        <v>712</v>
      </c>
      <c r="I216" s="2" t="s">
        <v>713</v>
      </c>
    </row>
    <row r="217" ht="15.75" customHeight="1">
      <c r="A217" s="1">
        <v>45593.0</v>
      </c>
      <c r="B217" s="2" t="s">
        <v>57</v>
      </c>
      <c r="C217" s="2" t="s">
        <v>269</v>
      </c>
      <c r="D217" s="6">
        <v>1010.17</v>
      </c>
      <c r="E217" s="6">
        <v>1.0</v>
      </c>
      <c r="F217" s="7">
        <v>1010.17</v>
      </c>
      <c r="G217" s="2" t="s">
        <v>714</v>
      </c>
      <c r="H217" s="2" t="s">
        <v>715</v>
      </c>
      <c r="I217" s="2" t="s">
        <v>716</v>
      </c>
    </row>
    <row r="218" ht="15.75" customHeight="1">
      <c r="A218" s="1">
        <v>45593.0</v>
      </c>
      <c r="B218" s="3" t="s">
        <v>14</v>
      </c>
      <c r="C218" s="2" t="s">
        <v>222</v>
      </c>
      <c r="D218" s="6">
        <v>2472.61</v>
      </c>
      <c r="E218" s="6">
        <v>5.0</v>
      </c>
      <c r="F218" s="7">
        <v>12363.05</v>
      </c>
      <c r="G218" s="2" t="s">
        <v>717</v>
      </c>
      <c r="H218" s="2" t="s">
        <v>718</v>
      </c>
      <c r="I218" s="2" t="s">
        <v>719</v>
      </c>
    </row>
    <row r="219" ht="15.75" customHeight="1">
      <c r="A219" s="1">
        <v>45594.0</v>
      </c>
      <c r="B219" s="2" t="s">
        <v>57</v>
      </c>
      <c r="C219" s="2" t="s">
        <v>256</v>
      </c>
      <c r="D219" s="6">
        <v>1741.09</v>
      </c>
      <c r="E219" s="6">
        <v>4.0</v>
      </c>
      <c r="F219" s="7">
        <v>6964.36</v>
      </c>
      <c r="G219" s="2" t="s">
        <v>720</v>
      </c>
      <c r="H219" s="2" t="s">
        <v>721</v>
      </c>
      <c r="I219" s="2" t="s">
        <v>722</v>
      </c>
    </row>
    <row r="220" ht="15.75" customHeight="1">
      <c r="A220" s="1">
        <v>45594.0</v>
      </c>
      <c r="B220" s="3" t="s">
        <v>29</v>
      </c>
      <c r="C220" s="2" t="s">
        <v>115</v>
      </c>
      <c r="D220" s="6">
        <v>1290.52</v>
      </c>
      <c r="E220" s="6">
        <v>3.0</v>
      </c>
      <c r="F220" s="7">
        <v>3871.56</v>
      </c>
      <c r="G220" s="2" t="s">
        <v>723</v>
      </c>
      <c r="H220" s="2" t="s">
        <v>724</v>
      </c>
      <c r="I220" s="2" t="s">
        <v>725</v>
      </c>
    </row>
    <row r="221" ht="15.75" customHeight="1">
      <c r="A221" s="1">
        <v>45594.0</v>
      </c>
      <c r="B221" s="2" t="s">
        <v>57</v>
      </c>
      <c r="C221" s="2" t="s">
        <v>123</v>
      </c>
      <c r="D221" s="6">
        <v>1598.45</v>
      </c>
      <c r="E221" s="6">
        <v>3.0</v>
      </c>
      <c r="F221" s="7">
        <v>4795.35</v>
      </c>
      <c r="G221" s="2" t="s">
        <v>726</v>
      </c>
      <c r="H221" s="2" t="s">
        <v>727</v>
      </c>
      <c r="I221" s="2" t="s">
        <v>728</v>
      </c>
    </row>
    <row r="222" ht="15.75" customHeight="1">
      <c r="A222" s="1">
        <v>45594.0</v>
      </c>
      <c r="B222" s="2" t="s">
        <v>34</v>
      </c>
      <c r="C222" s="2" t="s">
        <v>62</v>
      </c>
      <c r="D222" s="6">
        <v>1156.44</v>
      </c>
      <c r="E222" s="6">
        <v>1.0</v>
      </c>
      <c r="F222" s="7">
        <v>1156.44</v>
      </c>
      <c r="G222" s="2" t="s">
        <v>729</v>
      </c>
      <c r="H222" s="2" t="s">
        <v>730</v>
      </c>
      <c r="I222" s="2" t="s">
        <v>731</v>
      </c>
    </row>
    <row r="223" ht="15.75" customHeight="1">
      <c r="A223" s="1">
        <v>45594.0</v>
      </c>
      <c r="B223" s="3" t="s">
        <v>14</v>
      </c>
      <c r="C223" s="2" t="s">
        <v>30</v>
      </c>
      <c r="D223" s="6">
        <v>288.29</v>
      </c>
      <c r="E223" s="6">
        <v>3.0</v>
      </c>
      <c r="F223" s="7">
        <v>864.87</v>
      </c>
      <c r="G223" s="2" t="s">
        <v>732</v>
      </c>
      <c r="H223" s="2" t="s">
        <v>733</v>
      </c>
      <c r="I223" s="2" t="s">
        <v>734</v>
      </c>
    </row>
    <row r="224" ht="15.75" customHeight="1">
      <c r="A224" s="1">
        <v>45594.0</v>
      </c>
      <c r="B224" s="3" t="s">
        <v>74</v>
      </c>
      <c r="C224" s="2" t="s">
        <v>179</v>
      </c>
      <c r="D224" s="6">
        <v>1164.32</v>
      </c>
      <c r="E224" s="6">
        <v>3.0</v>
      </c>
      <c r="F224" s="7">
        <v>3492.96</v>
      </c>
      <c r="G224" s="2" t="s">
        <v>735</v>
      </c>
      <c r="H224" s="2" t="s">
        <v>736</v>
      </c>
      <c r="I224" s="2" t="s">
        <v>737</v>
      </c>
    </row>
    <row r="225" ht="15.75" customHeight="1">
      <c r="A225" s="1">
        <v>45594.0</v>
      </c>
      <c r="B225" s="2" t="s">
        <v>57</v>
      </c>
      <c r="C225" s="2" t="s">
        <v>35</v>
      </c>
      <c r="D225" s="6">
        <v>429.21</v>
      </c>
      <c r="E225" s="6">
        <v>5.0</v>
      </c>
      <c r="F225" s="7">
        <v>2146.05</v>
      </c>
      <c r="G225" s="2" t="s">
        <v>738</v>
      </c>
      <c r="H225" s="2" t="s">
        <v>739</v>
      </c>
      <c r="I225" s="2" t="s">
        <v>740</v>
      </c>
    </row>
    <row r="226" ht="15.75" customHeight="1">
      <c r="A226" s="1">
        <v>45594.0</v>
      </c>
      <c r="B226" s="3" t="s">
        <v>74</v>
      </c>
      <c r="C226" s="2" t="s">
        <v>215</v>
      </c>
      <c r="D226" s="6">
        <v>847.32</v>
      </c>
      <c r="E226" s="6">
        <v>5.0</v>
      </c>
      <c r="F226" s="7">
        <v>4236.6</v>
      </c>
      <c r="G226" s="2" t="s">
        <v>741</v>
      </c>
      <c r="H226" s="2" t="s">
        <v>742</v>
      </c>
      <c r="I226" s="2" t="s">
        <v>743</v>
      </c>
    </row>
    <row r="227" ht="15.75" customHeight="1">
      <c r="A227" s="1">
        <v>45594.0</v>
      </c>
      <c r="B227" s="3" t="s">
        <v>29</v>
      </c>
      <c r="C227" s="2" t="s">
        <v>35</v>
      </c>
      <c r="D227" s="6">
        <v>509.58</v>
      </c>
      <c r="E227" s="6">
        <v>3.0</v>
      </c>
      <c r="F227" s="7">
        <v>1528.74</v>
      </c>
      <c r="G227" s="2" t="s">
        <v>744</v>
      </c>
      <c r="H227" s="2" t="s">
        <v>745</v>
      </c>
      <c r="I227" s="2" t="s">
        <v>746</v>
      </c>
    </row>
    <row r="228" ht="15.75" customHeight="1">
      <c r="A228" s="1">
        <v>45594.0</v>
      </c>
      <c r="B228" s="2" t="s">
        <v>57</v>
      </c>
      <c r="C228" s="2" t="s">
        <v>53</v>
      </c>
      <c r="D228" s="6">
        <v>2248.35</v>
      </c>
      <c r="E228" s="6">
        <v>5.0</v>
      </c>
      <c r="F228" s="7">
        <v>11241.75</v>
      </c>
      <c r="G228" s="2" t="s">
        <v>747</v>
      </c>
      <c r="H228" s="2" t="s">
        <v>748</v>
      </c>
      <c r="I228" s="2" t="s">
        <v>749</v>
      </c>
    </row>
    <row r="229" ht="15.75" customHeight="1">
      <c r="A229" s="1">
        <v>45594.0</v>
      </c>
      <c r="B229" s="3" t="s">
        <v>29</v>
      </c>
      <c r="C229" s="2" t="s">
        <v>279</v>
      </c>
      <c r="D229" s="6">
        <v>2388.79</v>
      </c>
      <c r="E229" s="6">
        <v>2.0</v>
      </c>
      <c r="F229" s="7">
        <v>4777.58</v>
      </c>
      <c r="G229" s="2" t="s">
        <v>750</v>
      </c>
      <c r="H229" s="2" t="s">
        <v>751</v>
      </c>
      <c r="I229" s="2" t="s">
        <v>752</v>
      </c>
    </row>
    <row r="230" ht="15.75" customHeight="1">
      <c r="A230" s="1">
        <v>45594.0</v>
      </c>
      <c r="B230" s="3" t="s">
        <v>29</v>
      </c>
      <c r="C230" s="2" t="s">
        <v>222</v>
      </c>
      <c r="D230" s="6">
        <v>2343.81</v>
      </c>
      <c r="E230" s="6">
        <v>4.0</v>
      </c>
      <c r="F230" s="7">
        <v>9375.24</v>
      </c>
      <c r="G230" s="2" t="s">
        <v>753</v>
      </c>
      <c r="H230" s="2" t="s">
        <v>754</v>
      </c>
      <c r="I230" s="2" t="s">
        <v>755</v>
      </c>
    </row>
    <row r="231" ht="15.75" customHeight="1">
      <c r="A231" s="1">
        <v>45594.0</v>
      </c>
      <c r="B231" s="3" t="s">
        <v>14</v>
      </c>
      <c r="C231" s="2" t="s">
        <v>215</v>
      </c>
      <c r="D231" s="6">
        <v>140.58</v>
      </c>
      <c r="E231" s="6">
        <v>3.0</v>
      </c>
      <c r="F231" s="7">
        <v>421.74</v>
      </c>
      <c r="G231" s="2" t="s">
        <v>756</v>
      </c>
      <c r="H231" s="2" t="s">
        <v>757</v>
      </c>
      <c r="I231" s="2" t="s">
        <v>758</v>
      </c>
    </row>
    <row r="232" ht="15.75" customHeight="1">
      <c r="A232" s="1">
        <v>45594.0</v>
      </c>
      <c r="B232" s="3" t="s">
        <v>29</v>
      </c>
      <c r="C232" s="2" t="s">
        <v>119</v>
      </c>
      <c r="D232" s="6">
        <v>1292.41</v>
      </c>
      <c r="E232" s="6">
        <v>5.0</v>
      </c>
      <c r="F232" s="7">
        <v>6462.05</v>
      </c>
      <c r="G232" s="2" t="s">
        <v>759</v>
      </c>
      <c r="H232" s="2" t="s">
        <v>760</v>
      </c>
      <c r="I232" s="2" t="s">
        <v>761</v>
      </c>
    </row>
    <row r="233" ht="15.75" customHeight="1">
      <c r="A233" s="1">
        <v>45595.0</v>
      </c>
      <c r="B233" s="2" t="s">
        <v>57</v>
      </c>
      <c r="C233" s="2" t="s">
        <v>161</v>
      </c>
      <c r="D233" s="6">
        <v>1099.54</v>
      </c>
      <c r="E233" s="6">
        <v>2.0</v>
      </c>
      <c r="F233" s="7">
        <v>2199.08</v>
      </c>
      <c r="G233" s="2" t="s">
        <v>762</v>
      </c>
      <c r="H233" s="2" t="s">
        <v>763</v>
      </c>
      <c r="I233" s="2" t="s">
        <v>764</v>
      </c>
    </row>
    <row r="234" ht="15.75" customHeight="1">
      <c r="A234" s="1">
        <v>45595.0</v>
      </c>
      <c r="B234" s="3" t="s">
        <v>74</v>
      </c>
      <c r="C234" s="2" t="s">
        <v>30</v>
      </c>
      <c r="D234" s="6">
        <v>2317.48</v>
      </c>
      <c r="E234" s="6">
        <v>1.0</v>
      </c>
      <c r="F234" s="7">
        <v>2317.48</v>
      </c>
      <c r="G234" s="2" t="s">
        <v>765</v>
      </c>
      <c r="H234" s="2" t="s">
        <v>766</v>
      </c>
      <c r="I234" s="2" t="s">
        <v>767</v>
      </c>
    </row>
    <row r="235" ht="15.75" customHeight="1">
      <c r="A235" s="1">
        <v>45595.0</v>
      </c>
      <c r="B235" s="2" t="s">
        <v>57</v>
      </c>
      <c r="C235" s="2" t="s">
        <v>92</v>
      </c>
      <c r="D235" s="6">
        <v>797.71</v>
      </c>
      <c r="E235" s="6">
        <v>1.0</v>
      </c>
      <c r="F235" s="7">
        <v>797.71</v>
      </c>
      <c r="G235" s="2" t="s">
        <v>768</v>
      </c>
      <c r="H235" s="2" t="s">
        <v>769</v>
      </c>
      <c r="I235" s="2" t="s">
        <v>770</v>
      </c>
    </row>
    <row r="236" ht="15.75" customHeight="1">
      <c r="A236" s="1">
        <v>45595.0</v>
      </c>
      <c r="B236" s="2" t="s">
        <v>34</v>
      </c>
      <c r="C236" s="2" t="s">
        <v>252</v>
      </c>
      <c r="D236" s="6">
        <v>1861.0</v>
      </c>
      <c r="E236" s="6">
        <v>5.0</v>
      </c>
      <c r="F236" s="7">
        <v>9305.0</v>
      </c>
      <c r="G236" s="2" t="s">
        <v>771</v>
      </c>
      <c r="H236" s="2" t="s">
        <v>772</v>
      </c>
      <c r="I236" s="2" t="s">
        <v>773</v>
      </c>
    </row>
    <row r="237" ht="15.75" customHeight="1">
      <c r="A237" s="1">
        <v>45595.0</v>
      </c>
      <c r="B237" s="2" t="s">
        <v>34</v>
      </c>
      <c r="C237" s="2" t="s">
        <v>58</v>
      </c>
      <c r="D237" s="6">
        <v>201.31</v>
      </c>
      <c r="E237" s="6">
        <v>5.0</v>
      </c>
      <c r="F237" s="7">
        <v>1006.55</v>
      </c>
      <c r="G237" s="2" t="s">
        <v>774</v>
      </c>
      <c r="H237" s="2" t="s">
        <v>775</v>
      </c>
      <c r="I237" s="2" t="s">
        <v>776</v>
      </c>
    </row>
    <row r="238" ht="15.75" customHeight="1">
      <c r="A238" s="1">
        <v>45596.0</v>
      </c>
      <c r="B238" s="3" t="s">
        <v>87</v>
      </c>
      <c r="C238" s="2" t="s">
        <v>161</v>
      </c>
      <c r="D238" s="6">
        <v>1889.28</v>
      </c>
      <c r="E238" s="6">
        <v>4.0</v>
      </c>
      <c r="F238" s="7">
        <v>7557.12</v>
      </c>
      <c r="G238" s="2" t="s">
        <v>777</v>
      </c>
      <c r="H238" s="2" t="s">
        <v>778</v>
      </c>
      <c r="I238" s="2" t="s">
        <v>779</v>
      </c>
    </row>
    <row r="239" ht="15.75" customHeight="1">
      <c r="A239" s="1">
        <v>45596.0</v>
      </c>
      <c r="B239" s="3" t="s">
        <v>14</v>
      </c>
      <c r="C239" s="2" t="s">
        <v>341</v>
      </c>
      <c r="D239" s="6">
        <v>1451.3</v>
      </c>
      <c r="E239" s="6">
        <v>2.0</v>
      </c>
      <c r="F239" s="7">
        <v>2902.6</v>
      </c>
      <c r="G239" s="2" t="s">
        <v>780</v>
      </c>
      <c r="H239" s="2" t="s">
        <v>781</v>
      </c>
      <c r="I239" s="2" t="s">
        <v>782</v>
      </c>
    </row>
    <row r="240" ht="15.75" customHeight="1">
      <c r="A240" s="1">
        <v>45596.0</v>
      </c>
      <c r="B240" s="2" t="s">
        <v>34</v>
      </c>
      <c r="C240" s="2" t="s">
        <v>62</v>
      </c>
      <c r="D240" s="6">
        <v>2266.71</v>
      </c>
      <c r="E240" s="6">
        <v>2.0</v>
      </c>
      <c r="F240" s="7">
        <v>4533.42</v>
      </c>
      <c r="G240" s="2" t="s">
        <v>783</v>
      </c>
      <c r="H240" s="2" t="s">
        <v>784</v>
      </c>
      <c r="I240" s="2" t="s">
        <v>785</v>
      </c>
    </row>
    <row r="241" ht="15.75" customHeight="1">
      <c r="A241" s="1">
        <v>45596.0</v>
      </c>
      <c r="B241" s="3" t="s">
        <v>14</v>
      </c>
      <c r="C241" s="2" t="s">
        <v>66</v>
      </c>
      <c r="D241" s="6">
        <v>287.48</v>
      </c>
      <c r="E241" s="6">
        <v>4.0</v>
      </c>
      <c r="F241" s="7">
        <v>1149.92</v>
      </c>
      <c r="G241" s="2" t="s">
        <v>786</v>
      </c>
      <c r="H241" s="2" t="s">
        <v>787</v>
      </c>
      <c r="I241" s="2" t="s">
        <v>788</v>
      </c>
    </row>
    <row r="242" ht="15.75" customHeight="1">
      <c r="A242" s="1">
        <v>45596.0</v>
      </c>
      <c r="B242" s="3" t="s">
        <v>74</v>
      </c>
      <c r="C242" s="2" t="s">
        <v>316</v>
      </c>
      <c r="D242" s="6">
        <v>1758.16</v>
      </c>
      <c r="E242" s="6">
        <v>5.0</v>
      </c>
      <c r="F242" s="7">
        <v>8790.8</v>
      </c>
      <c r="G242" s="2" t="s">
        <v>789</v>
      </c>
      <c r="H242" s="2" t="s">
        <v>790</v>
      </c>
      <c r="I242" s="2" t="s">
        <v>791</v>
      </c>
    </row>
    <row r="243" ht="15.75" customHeight="1">
      <c r="A243" s="1">
        <v>45596.0</v>
      </c>
      <c r="B243" s="2" t="s">
        <v>34</v>
      </c>
      <c r="C243" s="2" t="s">
        <v>137</v>
      </c>
      <c r="D243" s="6">
        <v>273.01</v>
      </c>
      <c r="E243" s="6">
        <v>1.0</v>
      </c>
      <c r="F243" s="7">
        <v>273.01</v>
      </c>
      <c r="G243" s="2" t="s">
        <v>792</v>
      </c>
      <c r="H243" s="2" t="s">
        <v>793</v>
      </c>
      <c r="I243" s="2" t="s">
        <v>794</v>
      </c>
    </row>
    <row r="244" ht="15.75" customHeight="1">
      <c r="A244" s="1">
        <v>45597.0</v>
      </c>
      <c r="B244" s="3" t="s">
        <v>74</v>
      </c>
      <c r="C244" s="2" t="s">
        <v>269</v>
      </c>
      <c r="D244" s="6">
        <v>434.9</v>
      </c>
      <c r="E244" s="6">
        <v>1.0</v>
      </c>
      <c r="F244" s="7">
        <v>434.9</v>
      </c>
      <c r="G244" s="2" t="s">
        <v>795</v>
      </c>
      <c r="H244" s="2" t="s">
        <v>796</v>
      </c>
      <c r="I244" s="2" t="s">
        <v>797</v>
      </c>
    </row>
    <row r="245" ht="15.75" customHeight="1">
      <c r="A245" s="1">
        <v>45597.0</v>
      </c>
      <c r="B245" s="3" t="s">
        <v>9</v>
      </c>
      <c r="C245" s="2" t="s">
        <v>161</v>
      </c>
      <c r="D245" s="6">
        <v>719.59</v>
      </c>
      <c r="E245" s="6">
        <v>3.0</v>
      </c>
      <c r="F245" s="7">
        <v>2158.77</v>
      </c>
      <c r="G245" s="2" t="s">
        <v>798</v>
      </c>
      <c r="H245" s="2" t="s">
        <v>799</v>
      </c>
      <c r="I245" s="2" t="s">
        <v>800</v>
      </c>
    </row>
    <row r="246" ht="15.75" customHeight="1">
      <c r="A246" s="1">
        <v>45597.0</v>
      </c>
      <c r="B246" s="2" t="s">
        <v>57</v>
      </c>
      <c r="C246" s="2" t="s">
        <v>119</v>
      </c>
      <c r="D246" s="6">
        <v>1912.53</v>
      </c>
      <c r="E246" s="6">
        <v>1.0</v>
      </c>
      <c r="F246" s="7">
        <v>1912.53</v>
      </c>
      <c r="G246" s="2" t="s">
        <v>801</v>
      </c>
      <c r="H246" s="2" t="s">
        <v>802</v>
      </c>
      <c r="I246" s="2" t="s">
        <v>803</v>
      </c>
    </row>
    <row r="247" ht="15.75" customHeight="1">
      <c r="A247" s="1">
        <v>45597.0</v>
      </c>
      <c r="B247" s="2" t="s">
        <v>34</v>
      </c>
      <c r="C247" s="2" t="s">
        <v>70</v>
      </c>
      <c r="D247" s="6">
        <v>2196.83</v>
      </c>
      <c r="E247" s="6">
        <v>5.0</v>
      </c>
      <c r="F247" s="7">
        <v>10984.15</v>
      </c>
      <c r="G247" s="2" t="s">
        <v>804</v>
      </c>
      <c r="H247" s="2" t="s">
        <v>805</v>
      </c>
      <c r="I247" s="2" t="s">
        <v>806</v>
      </c>
    </row>
    <row r="248" ht="15.75" customHeight="1">
      <c r="A248" s="1">
        <v>45597.0</v>
      </c>
      <c r="B248" s="3" t="s">
        <v>14</v>
      </c>
      <c r="C248" s="2" t="s">
        <v>427</v>
      </c>
      <c r="D248" s="6">
        <v>1992.15</v>
      </c>
      <c r="E248" s="6">
        <v>2.0</v>
      </c>
      <c r="F248" s="7">
        <v>3984.3</v>
      </c>
      <c r="G248" s="2" t="s">
        <v>807</v>
      </c>
      <c r="H248" s="2" t="s">
        <v>808</v>
      </c>
      <c r="I248" s="2" t="s">
        <v>809</v>
      </c>
    </row>
    <row r="249" ht="15.75" customHeight="1">
      <c r="A249" s="1">
        <v>45598.0</v>
      </c>
      <c r="B249" s="2" t="s">
        <v>34</v>
      </c>
      <c r="C249" s="2" t="s">
        <v>130</v>
      </c>
      <c r="D249" s="6">
        <v>1291.38</v>
      </c>
      <c r="E249" s="6">
        <v>4.0</v>
      </c>
      <c r="F249" s="7">
        <v>5165.52</v>
      </c>
      <c r="G249" s="2" t="s">
        <v>810</v>
      </c>
      <c r="H249" s="2" t="s">
        <v>811</v>
      </c>
      <c r="I249" s="2" t="s">
        <v>812</v>
      </c>
    </row>
    <row r="250" ht="15.75" customHeight="1">
      <c r="A250" s="1">
        <v>45598.0</v>
      </c>
      <c r="B250" s="3" t="s">
        <v>14</v>
      </c>
      <c r="C250" s="2" t="s">
        <v>35</v>
      </c>
      <c r="D250" s="6">
        <v>1522.98</v>
      </c>
      <c r="E250" s="6">
        <v>1.0</v>
      </c>
      <c r="F250" s="7">
        <v>1522.98</v>
      </c>
      <c r="G250" s="2" t="s">
        <v>813</v>
      </c>
      <c r="H250" s="2" t="s">
        <v>814</v>
      </c>
      <c r="I250" s="2" t="s">
        <v>815</v>
      </c>
    </row>
    <row r="251" ht="15.75" customHeight="1">
      <c r="A251" s="1">
        <v>45598.0</v>
      </c>
      <c r="B251" s="2" t="s">
        <v>57</v>
      </c>
      <c r="C251" s="2" t="s">
        <v>58</v>
      </c>
      <c r="D251" s="6">
        <v>1688.92</v>
      </c>
      <c r="E251" s="6">
        <v>5.0</v>
      </c>
      <c r="F251" s="7">
        <v>8444.6</v>
      </c>
      <c r="G251" s="2" t="s">
        <v>816</v>
      </c>
      <c r="H251" s="2" t="s">
        <v>817</v>
      </c>
      <c r="I251" s="2" t="s">
        <v>818</v>
      </c>
    </row>
    <row r="252" ht="15.75" customHeight="1">
      <c r="A252" s="1">
        <v>45599.0</v>
      </c>
      <c r="B252" s="3" t="s">
        <v>9</v>
      </c>
      <c r="C252" s="2" t="s">
        <v>161</v>
      </c>
      <c r="D252" s="6">
        <v>2157.37</v>
      </c>
      <c r="E252" s="6">
        <v>5.0</v>
      </c>
      <c r="F252" s="7">
        <v>10786.85</v>
      </c>
      <c r="G252" s="2" t="s">
        <v>819</v>
      </c>
      <c r="H252" s="2" t="s">
        <v>820</v>
      </c>
      <c r="I252" s="2" t="s">
        <v>821</v>
      </c>
    </row>
    <row r="253" ht="15.75" customHeight="1">
      <c r="A253" s="1">
        <v>45599.0</v>
      </c>
      <c r="B253" s="2" t="s">
        <v>57</v>
      </c>
      <c r="C253" s="2" t="s">
        <v>269</v>
      </c>
      <c r="D253" s="6">
        <v>642.49</v>
      </c>
      <c r="E253" s="6">
        <v>4.0</v>
      </c>
      <c r="F253" s="7">
        <v>2569.96</v>
      </c>
      <c r="G253" s="2" t="s">
        <v>822</v>
      </c>
      <c r="H253" s="2" t="s">
        <v>823</v>
      </c>
      <c r="I253" s="2" t="s">
        <v>824</v>
      </c>
    </row>
    <row r="254" ht="15.75" customHeight="1">
      <c r="A254" s="1">
        <v>45600.0</v>
      </c>
      <c r="B254" s="2" t="s">
        <v>34</v>
      </c>
      <c r="C254" s="2" t="s">
        <v>289</v>
      </c>
      <c r="D254" s="6">
        <v>2114.2</v>
      </c>
      <c r="E254" s="6">
        <v>5.0</v>
      </c>
      <c r="F254" s="7">
        <v>10571.0</v>
      </c>
      <c r="G254" s="2" t="s">
        <v>825</v>
      </c>
      <c r="H254" s="2" t="s">
        <v>826</v>
      </c>
      <c r="I254" s="2" t="s">
        <v>827</v>
      </c>
    </row>
    <row r="255" ht="15.75" customHeight="1">
      <c r="A255" s="1">
        <v>45600.0</v>
      </c>
      <c r="B255" s="3" t="s">
        <v>14</v>
      </c>
      <c r="C255" s="2" t="s">
        <v>88</v>
      </c>
      <c r="D255" s="6">
        <v>1491.19</v>
      </c>
      <c r="E255" s="6">
        <v>5.0</v>
      </c>
      <c r="F255" s="7">
        <v>7455.95</v>
      </c>
      <c r="G255" s="2" t="s">
        <v>828</v>
      </c>
      <c r="H255" s="2" t="s">
        <v>829</v>
      </c>
      <c r="I255" s="2" t="s">
        <v>830</v>
      </c>
    </row>
    <row r="256" ht="15.75" customHeight="1">
      <c r="A256" s="1">
        <v>45600.0</v>
      </c>
      <c r="B256" s="2" t="s">
        <v>57</v>
      </c>
      <c r="C256" s="2" t="s">
        <v>130</v>
      </c>
      <c r="D256" s="6">
        <v>1849.07</v>
      </c>
      <c r="E256" s="6">
        <v>5.0</v>
      </c>
      <c r="F256" s="7">
        <v>9245.35</v>
      </c>
      <c r="G256" s="2" t="s">
        <v>831</v>
      </c>
      <c r="H256" s="2" t="s">
        <v>832</v>
      </c>
      <c r="I256" s="2" t="s">
        <v>833</v>
      </c>
    </row>
    <row r="257" ht="15.75" customHeight="1">
      <c r="A257" s="1">
        <v>45600.0</v>
      </c>
      <c r="B257" s="2" t="s">
        <v>34</v>
      </c>
      <c r="C257" s="2" t="s">
        <v>834</v>
      </c>
      <c r="D257" s="6">
        <v>1612.87</v>
      </c>
      <c r="E257" s="6">
        <v>4.0</v>
      </c>
      <c r="F257" s="7">
        <v>6451.48</v>
      </c>
      <c r="G257" s="2" t="s">
        <v>835</v>
      </c>
      <c r="H257" s="2" t="s">
        <v>836</v>
      </c>
      <c r="I257" s="2" t="s">
        <v>837</v>
      </c>
    </row>
    <row r="258" ht="15.75" customHeight="1">
      <c r="A258" s="1">
        <v>45601.0</v>
      </c>
      <c r="B258" s="3" t="s">
        <v>74</v>
      </c>
      <c r="C258" s="2" t="s">
        <v>119</v>
      </c>
      <c r="D258" s="6">
        <v>670.67</v>
      </c>
      <c r="E258" s="6">
        <v>4.0</v>
      </c>
      <c r="F258" s="7">
        <v>2682.68</v>
      </c>
      <c r="G258" s="2" t="s">
        <v>838</v>
      </c>
      <c r="H258" s="2" t="s">
        <v>839</v>
      </c>
      <c r="I258" s="2" t="s">
        <v>840</v>
      </c>
    </row>
    <row r="259" ht="15.75" customHeight="1">
      <c r="A259" s="1">
        <v>45601.0</v>
      </c>
      <c r="B259" s="3" t="s">
        <v>29</v>
      </c>
      <c r="C259" s="2" t="s">
        <v>151</v>
      </c>
      <c r="D259" s="6">
        <v>1040.78</v>
      </c>
      <c r="E259" s="6">
        <v>2.0</v>
      </c>
      <c r="F259" s="7">
        <v>2081.56</v>
      </c>
      <c r="G259" s="2" t="s">
        <v>841</v>
      </c>
      <c r="H259" s="2" t="s">
        <v>842</v>
      </c>
      <c r="I259" s="2" t="s">
        <v>843</v>
      </c>
    </row>
    <row r="260" ht="15.75" customHeight="1">
      <c r="A260" s="1">
        <v>45601.0</v>
      </c>
      <c r="B260" s="3" t="s">
        <v>29</v>
      </c>
      <c r="C260" s="2" t="s">
        <v>256</v>
      </c>
      <c r="D260" s="6">
        <v>1050.44</v>
      </c>
      <c r="E260" s="6">
        <v>5.0</v>
      </c>
      <c r="F260" s="7">
        <v>5252.2</v>
      </c>
      <c r="G260" s="2" t="s">
        <v>844</v>
      </c>
      <c r="H260" s="2" t="s">
        <v>845</v>
      </c>
      <c r="I260" s="2" t="s">
        <v>846</v>
      </c>
    </row>
    <row r="261" ht="15.75" customHeight="1">
      <c r="A261" s="5">
        <v>45601.0</v>
      </c>
      <c r="B261" s="3" t="s">
        <v>87</v>
      </c>
      <c r="C261" s="2" t="s">
        <v>222</v>
      </c>
      <c r="D261" s="6">
        <v>808.32</v>
      </c>
      <c r="E261" s="6">
        <v>4.0</v>
      </c>
      <c r="F261" s="7">
        <v>3233.28</v>
      </c>
      <c r="G261" s="2" t="s">
        <v>847</v>
      </c>
      <c r="H261" s="2" t="s">
        <v>848</v>
      </c>
      <c r="I261" s="2" t="s">
        <v>849</v>
      </c>
    </row>
    <row r="262" ht="15.75" customHeight="1">
      <c r="A262" s="1">
        <v>45601.0</v>
      </c>
      <c r="B262" s="3" t="s">
        <v>29</v>
      </c>
      <c r="C262" s="2" t="s">
        <v>289</v>
      </c>
      <c r="D262" s="6">
        <v>2092.87</v>
      </c>
      <c r="E262" s="6">
        <v>4.0</v>
      </c>
      <c r="F262" s="7">
        <v>8371.48</v>
      </c>
      <c r="G262" s="2" t="s">
        <v>850</v>
      </c>
      <c r="H262" s="2" t="s">
        <v>851</v>
      </c>
      <c r="I262" s="2" t="s">
        <v>852</v>
      </c>
    </row>
    <row r="263" ht="15.75" customHeight="1">
      <c r="A263" s="1">
        <v>45601.0</v>
      </c>
      <c r="B263" s="2" t="s">
        <v>57</v>
      </c>
      <c r="C263" s="2" t="s">
        <v>289</v>
      </c>
      <c r="D263" s="6">
        <v>1826.03</v>
      </c>
      <c r="E263" s="6">
        <v>2.0</v>
      </c>
      <c r="F263" s="7">
        <v>3652.06</v>
      </c>
      <c r="G263" s="2" t="s">
        <v>853</v>
      </c>
      <c r="H263" s="2" t="s">
        <v>854</v>
      </c>
      <c r="I263" s="2" t="s">
        <v>855</v>
      </c>
    </row>
    <row r="264" ht="15.75" customHeight="1">
      <c r="A264" s="1">
        <v>45602.0</v>
      </c>
      <c r="B264" s="3" t="s">
        <v>14</v>
      </c>
      <c r="C264" s="2" t="s">
        <v>226</v>
      </c>
      <c r="D264" s="6">
        <v>1945.67</v>
      </c>
      <c r="E264" s="6">
        <v>4.0</v>
      </c>
      <c r="F264" s="7">
        <v>7782.68</v>
      </c>
      <c r="G264" s="2" t="s">
        <v>856</v>
      </c>
      <c r="H264" s="2" t="s">
        <v>857</v>
      </c>
      <c r="I264" s="2" t="s">
        <v>858</v>
      </c>
    </row>
    <row r="265" ht="15.75" customHeight="1">
      <c r="A265" s="1">
        <v>45602.0</v>
      </c>
      <c r="B265" s="2" t="s">
        <v>34</v>
      </c>
      <c r="C265" s="2" t="s">
        <v>427</v>
      </c>
      <c r="D265" s="6">
        <v>949.27</v>
      </c>
      <c r="E265" s="6">
        <v>2.0</v>
      </c>
      <c r="F265" s="7">
        <v>1898.54</v>
      </c>
      <c r="G265" s="2" t="s">
        <v>859</v>
      </c>
      <c r="H265" s="2" t="s">
        <v>860</v>
      </c>
      <c r="I265" s="2" t="s">
        <v>861</v>
      </c>
    </row>
    <row r="266" ht="15.75" customHeight="1">
      <c r="A266" s="1">
        <v>45603.0</v>
      </c>
      <c r="B266" s="3" t="s">
        <v>29</v>
      </c>
      <c r="C266" s="2" t="s">
        <v>66</v>
      </c>
      <c r="D266" s="6">
        <v>127.95</v>
      </c>
      <c r="E266" s="6">
        <v>4.0</v>
      </c>
      <c r="F266" s="7">
        <v>511.8</v>
      </c>
      <c r="G266" s="2" t="s">
        <v>862</v>
      </c>
      <c r="H266" s="2" t="s">
        <v>863</v>
      </c>
      <c r="I266" s="2" t="s">
        <v>864</v>
      </c>
    </row>
    <row r="267" ht="15.75" customHeight="1">
      <c r="A267" s="1">
        <v>45603.0</v>
      </c>
      <c r="B267" s="3" t="s">
        <v>74</v>
      </c>
      <c r="C267" s="2" t="s">
        <v>662</v>
      </c>
      <c r="D267" s="6">
        <v>371.34</v>
      </c>
      <c r="E267" s="6">
        <v>3.0</v>
      </c>
      <c r="F267" s="7">
        <v>1114.02</v>
      </c>
      <c r="G267" s="2" t="s">
        <v>865</v>
      </c>
      <c r="H267" s="2" t="s">
        <v>866</v>
      </c>
      <c r="I267" s="2" t="s">
        <v>867</v>
      </c>
    </row>
    <row r="268" ht="15.75" customHeight="1">
      <c r="A268" s="1">
        <v>45603.0</v>
      </c>
      <c r="B268" s="2" t="s">
        <v>34</v>
      </c>
      <c r="C268" s="2" t="s">
        <v>92</v>
      </c>
      <c r="D268" s="6">
        <v>700.01</v>
      </c>
      <c r="E268" s="6">
        <v>3.0</v>
      </c>
      <c r="F268" s="7">
        <v>2100.03</v>
      </c>
      <c r="G268" s="2" t="s">
        <v>868</v>
      </c>
      <c r="H268" s="2" t="s">
        <v>869</v>
      </c>
      <c r="I268" s="2" t="s">
        <v>870</v>
      </c>
    </row>
    <row r="269" ht="15.75" customHeight="1">
      <c r="A269" s="1">
        <v>45603.0</v>
      </c>
      <c r="B269" s="3" t="s">
        <v>74</v>
      </c>
      <c r="C269" s="2" t="s">
        <v>386</v>
      </c>
      <c r="D269" s="6">
        <v>2242.24</v>
      </c>
      <c r="E269" s="6">
        <v>1.0</v>
      </c>
      <c r="F269" s="7">
        <v>2242.24</v>
      </c>
      <c r="G269" s="2" t="s">
        <v>871</v>
      </c>
      <c r="H269" s="2" t="s">
        <v>872</v>
      </c>
      <c r="I269" s="2" t="s">
        <v>873</v>
      </c>
    </row>
    <row r="270" ht="15.75" customHeight="1">
      <c r="A270" s="5">
        <v>45603.0</v>
      </c>
      <c r="B270" s="3" t="s">
        <v>14</v>
      </c>
      <c r="C270" s="2" t="s">
        <v>130</v>
      </c>
      <c r="D270" s="6">
        <v>1912.83</v>
      </c>
      <c r="E270" s="6">
        <v>2.0</v>
      </c>
      <c r="F270" s="7">
        <v>3825.66</v>
      </c>
      <c r="G270" s="2" t="s">
        <v>874</v>
      </c>
      <c r="H270" s="2" t="s">
        <v>875</v>
      </c>
      <c r="I270" s="2" t="s">
        <v>876</v>
      </c>
    </row>
    <row r="271" ht="15.75" customHeight="1">
      <c r="A271" s="5">
        <v>45603.0</v>
      </c>
      <c r="B271" s="3" t="s">
        <v>9</v>
      </c>
      <c r="C271" s="2" t="s">
        <v>119</v>
      </c>
      <c r="D271" s="6">
        <v>634.44</v>
      </c>
      <c r="E271" s="6">
        <v>4.0</v>
      </c>
      <c r="F271" s="7">
        <v>2537.76</v>
      </c>
      <c r="G271" s="2" t="s">
        <v>877</v>
      </c>
      <c r="H271" s="2" t="s">
        <v>878</v>
      </c>
      <c r="I271" s="2" t="s">
        <v>879</v>
      </c>
    </row>
    <row r="272" ht="15.75" customHeight="1">
      <c r="A272" s="5">
        <v>45603.0</v>
      </c>
      <c r="B272" s="2" t="s">
        <v>34</v>
      </c>
      <c r="C272" s="2" t="s">
        <v>252</v>
      </c>
      <c r="D272" s="6">
        <v>1270.75</v>
      </c>
      <c r="E272" s="6">
        <v>5.0</v>
      </c>
      <c r="F272" s="7">
        <v>6353.75</v>
      </c>
      <c r="G272" s="2" t="s">
        <v>880</v>
      </c>
      <c r="H272" s="2" t="s">
        <v>881</v>
      </c>
      <c r="I272" s="2" t="s">
        <v>882</v>
      </c>
    </row>
    <row r="273" ht="15.75" customHeight="1">
      <c r="A273" s="1">
        <v>45603.0</v>
      </c>
      <c r="B273" s="3" t="s">
        <v>14</v>
      </c>
      <c r="C273" s="2" t="s">
        <v>58</v>
      </c>
      <c r="D273" s="6">
        <v>841.48</v>
      </c>
      <c r="E273" s="6">
        <v>2.0</v>
      </c>
      <c r="F273" s="7">
        <v>1682.96</v>
      </c>
      <c r="G273" s="2" t="s">
        <v>883</v>
      </c>
      <c r="H273" s="2" t="s">
        <v>884</v>
      </c>
      <c r="I273" s="2" t="s">
        <v>885</v>
      </c>
    </row>
    <row r="274" ht="15.75" customHeight="1">
      <c r="A274" s="1">
        <v>45604.0</v>
      </c>
      <c r="B274" s="2" t="s">
        <v>34</v>
      </c>
      <c r="C274" s="2" t="s">
        <v>53</v>
      </c>
      <c r="D274" s="6">
        <v>1656.59</v>
      </c>
      <c r="E274" s="6">
        <v>1.0</v>
      </c>
      <c r="F274" s="7">
        <v>1656.59</v>
      </c>
      <c r="G274" s="2" t="s">
        <v>886</v>
      </c>
      <c r="H274" s="2" t="s">
        <v>887</v>
      </c>
      <c r="I274" s="2" t="s">
        <v>888</v>
      </c>
    </row>
    <row r="275" ht="15.75" customHeight="1">
      <c r="A275" s="1">
        <v>45604.0</v>
      </c>
      <c r="B275" s="3" t="s">
        <v>74</v>
      </c>
      <c r="C275" s="2" t="s">
        <v>215</v>
      </c>
      <c r="D275" s="6">
        <v>762.46</v>
      </c>
      <c r="E275" s="6">
        <v>1.0</v>
      </c>
      <c r="F275" s="7">
        <v>762.46</v>
      </c>
      <c r="G275" s="2" t="s">
        <v>889</v>
      </c>
      <c r="H275" s="2" t="s">
        <v>890</v>
      </c>
      <c r="I275" s="2" t="s">
        <v>891</v>
      </c>
    </row>
    <row r="276" ht="15.75" customHeight="1">
      <c r="A276" s="1">
        <v>45604.0</v>
      </c>
      <c r="B276" s="3" t="s">
        <v>9</v>
      </c>
      <c r="C276" s="2" t="s">
        <v>386</v>
      </c>
      <c r="D276" s="6">
        <v>1662.81</v>
      </c>
      <c r="E276" s="6">
        <v>5.0</v>
      </c>
      <c r="F276" s="7">
        <v>8314.05</v>
      </c>
      <c r="G276" s="2" t="s">
        <v>892</v>
      </c>
      <c r="H276" s="2" t="s">
        <v>893</v>
      </c>
      <c r="I276" s="2" t="s">
        <v>894</v>
      </c>
    </row>
    <row r="277" ht="15.75" customHeight="1">
      <c r="A277" s="1">
        <v>45604.0</v>
      </c>
      <c r="B277" s="2" t="s">
        <v>34</v>
      </c>
      <c r="C277" s="2" t="s">
        <v>269</v>
      </c>
      <c r="D277" s="6">
        <v>427.92</v>
      </c>
      <c r="E277" s="6">
        <v>2.0</v>
      </c>
      <c r="F277" s="7">
        <v>855.84</v>
      </c>
      <c r="G277" s="3" t="s">
        <v>895</v>
      </c>
      <c r="H277" s="2" t="s">
        <v>896</v>
      </c>
      <c r="I277" s="2" t="s">
        <v>897</v>
      </c>
    </row>
    <row r="278" ht="15.75" customHeight="1">
      <c r="A278" s="1">
        <v>45605.0</v>
      </c>
      <c r="B278" s="3" t="s">
        <v>29</v>
      </c>
      <c r="C278" s="2" t="s">
        <v>279</v>
      </c>
      <c r="D278" s="6">
        <v>271.11</v>
      </c>
      <c r="E278" s="6">
        <v>2.0</v>
      </c>
      <c r="F278" s="7">
        <v>542.22</v>
      </c>
      <c r="G278" s="2" t="s">
        <v>898</v>
      </c>
      <c r="H278" s="2" t="s">
        <v>899</v>
      </c>
      <c r="I278" s="2" t="s">
        <v>900</v>
      </c>
    </row>
    <row r="279" ht="15.75" customHeight="1">
      <c r="A279" s="1">
        <v>45605.0</v>
      </c>
      <c r="B279" s="2" t="s">
        <v>34</v>
      </c>
      <c r="C279" s="2" t="s">
        <v>386</v>
      </c>
      <c r="D279" s="6">
        <v>1112.81</v>
      </c>
      <c r="E279" s="6">
        <v>1.0</v>
      </c>
      <c r="F279" s="7">
        <v>1112.81</v>
      </c>
      <c r="G279" s="2" t="s">
        <v>901</v>
      </c>
      <c r="H279" s="2" t="s">
        <v>902</v>
      </c>
      <c r="I279" s="2" t="s">
        <v>903</v>
      </c>
    </row>
    <row r="280" ht="15.75" customHeight="1">
      <c r="A280" s="1">
        <v>45605.0</v>
      </c>
      <c r="B280" s="2" t="s">
        <v>34</v>
      </c>
      <c r="C280" s="2" t="s">
        <v>30</v>
      </c>
      <c r="D280" s="6">
        <v>720.63</v>
      </c>
      <c r="E280" s="6">
        <v>1.0</v>
      </c>
      <c r="F280" s="7">
        <v>720.63</v>
      </c>
      <c r="G280" s="2" t="s">
        <v>904</v>
      </c>
      <c r="H280" s="2" t="s">
        <v>905</v>
      </c>
      <c r="I280" s="2" t="s">
        <v>906</v>
      </c>
    </row>
    <row r="281" ht="15.75" customHeight="1">
      <c r="A281" s="1">
        <v>45605.0</v>
      </c>
      <c r="B281" s="3" t="s">
        <v>87</v>
      </c>
      <c r="C281" s="2" t="s">
        <v>386</v>
      </c>
      <c r="D281" s="6">
        <v>1111.98</v>
      </c>
      <c r="E281" s="6">
        <v>4.0</v>
      </c>
      <c r="F281" s="7">
        <v>4447.92</v>
      </c>
      <c r="G281" s="2" t="s">
        <v>907</v>
      </c>
      <c r="H281" s="2" t="s">
        <v>908</v>
      </c>
      <c r="I281" s="2" t="s">
        <v>909</v>
      </c>
    </row>
    <row r="282" ht="15.75" customHeight="1">
      <c r="A282" s="1">
        <v>45606.0</v>
      </c>
      <c r="B282" s="2" t="s">
        <v>34</v>
      </c>
      <c r="C282" s="2" t="s">
        <v>312</v>
      </c>
      <c r="D282" s="6">
        <v>763.62</v>
      </c>
      <c r="E282" s="6">
        <v>1.0</v>
      </c>
      <c r="F282" s="7">
        <v>763.62</v>
      </c>
      <c r="G282" s="2" t="s">
        <v>910</v>
      </c>
      <c r="H282" s="2" t="s">
        <v>911</v>
      </c>
      <c r="I282" s="2" t="s">
        <v>912</v>
      </c>
    </row>
    <row r="283" ht="15.75" customHeight="1">
      <c r="A283" s="1">
        <v>45606.0</v>
      </c>
      <c r="B283" s="3" t="s">
        <v>29</v>
      </c>
      <c r="C283" s="2" t="s">
        <v>386</v>
      </c>
      <c r="D283" s="6">
        <v>489.42</v>
      </c>
      <c r="E283" s="6">
        <v>3.0</v>
      </c>
      <c r="F283" s="7">
        <v>1468.26</v>
      </c>
      <c r="G283" s="2" t="s">
        <v>913</v>
      </c>
      <c r="H283" s="2" t="s">
        <v>914</v>
      </c>
      <c r="I283" s="8" t="s">
        <v>915</v>
      </c>
    </row>
    <row r="284" ht="15.75" customHeight="1">
      <c r="A284" s="1">
        <v>45606.0</v>
      </c>
      <c r="B284" s="2" t="s">
        <v>57</v>
      </c>
      <c r="C284" s="2" t="s">
        <v>370</v>
      </c>
      <c r="D284" s="6">
        <v>2356.5</v>
      </c>
      <c r="E284" s="6">
        <v>5.0</v>
      </c>
      <c r="F284" s="7">
        <v>11782.5</v>
      </c>
      <c r="G284" s="2" t="s">
        <v>916</v>
      </c>
      <c r="H284" s="2" t="s">
        <v>917</v>
      </c>
      <c r="I284" s="2" t="s">
        <v>918</v>
      </c>
    </row>
    <row r="285" ht="15.75" customHeight="1">
      <c r="A285" s="1">
        <v>45606.0</v>
      </c>
      <c r="B285" s="3" t="s">
        <v>9</v>
      </c>
      <c r="C285" s="2" t="s">
        <v>130</v>
      </c>
      <c r="D285" s="6">
        <v>56.71</v>
      </c>
      <c r="E285" s="6">
        <v>1.0</v>
      </c>
      <c r="F285" s="7">
        <v>56.71</v>
      </c>
      <c r="G285" s="2" t="s">
        <v>919</v>
      </c>
      <c r="H285" s="2" t="s">
        <v>920</v>
      </c>
      <c r="I285" s="2" t="s">
        <v>921</v>
      </c>
    </row>
    <row r="286" ht="15.75" customHeight="1">
      <c r="A286" s="1">
        <v>45606.0</v>
      </c>
      <c r="B286" s="3" t="s">
        <v>14</v>
      </c>
      <c r="C286" s="2" t="s">
        <v>10</v>
      </c>
      <c r="D286" s="6">
        <v>853.52</v>
      </c>
      <c r="E286" s="6">
        <v>5.0</v>
      </c>
      <c r="F286" s="7">
        <v>4267.6</v>
      </c>
      <c r="G286" s="2" t="s">
        <v>922</v>
      </c>
      <c r="H286" s="2" t="s">
        <v>923</v>
      </c>
      <c r="I286" s="2" t="s">
        <v>924</v>
      </c>
    </row>
    <row r="287" ht="15.75" customHeight="1">
      <c r="A287" s="1">
        <v>45606.0</v>
      </c>
      <c r="B287" s="3" t="s">
        <v>9</v>
      </c>
      <c r="C287" s="2" t="s">
        <v>308</v>
      </c>
      <c r="D287" s="6">
        <v>1668.3</v>
      </c>
      <c r="E287" s="6">
        <v>2.0</v>
      </c>
      <c r="F287" s="7">
        <v>3336.6</v>
      </c>
      <c r="G287" s="2" t="s">
        <v>925</v>
      </c>
      <c r="H287" s="2" t="s">
        <v>926</v>
      </c>
      <c r="I287" s="2" t="s">
        <v>927</v>
      </c>
    </row>
    <row r="288" ht="15.75" customHeight="1">
      <c r="A288" s="5">
        <v>45606.0</v>
      </c>
      <c r="B288" s="3" t="s">
        <v>9</v>
      </c>
      <c r="C288" s="2" t="s">
        <v>15</v>
      </c>
      <c r="D288" s="6">
        <v>1585.75</v>
      </c>
      <c r="E288" s="6">
        <v>5.0</v>
      </c>
      <c r="F288" s="7">
        <v>7928.75</v>
      </c>
      <c r="G288" s="2" t="s">
        <v>928</v>
      </c>
      <c r="H288" s="2" t="s">
        <v>929</v>
      </c>
      <c r="I288" s="2" t="s">
        <v>930</v>
      </c>
    </row>
    <row r="289" ht="15.75" customHeight="1">
      <c r="A289" s="1">
        <v>45606.0</v>
      </c>
      <c r="B289" s="3" t="s">
        <v>9</v>
      </c>
      <c r="C289" s="2" t="s">
        <v>396</v>
      </c>
      <c r="D289" s="6">
        <v>229.33</v>
      </c>
      <c r="E289" s="6">
        <v>4.0</v>
      </c>
      <c r="F289" s="7">
        <v>917.32</v>
      </c>
      <c r="G289" s="2" t="s">
        <v>931</v>
      </c>
      <c r="H289" s="2" t="s">
        <v>932</v>
      </c>
      <c r="I289" s="2" t="s">
        <v>933</v>
      </c>
    </row>
    <row r="290" ht="15.75" customHeight="1">
      <c r="A290" s="1">
        <v>45606.0</v>
      </c>
      <c r="B290" s="3" t="s">
        <v>14</v>
      </c>
      <c r="C290" s="2" t="s">
        <v>70</v>
      </c>
      <c r="D290" s="6">
        <v>596.93</v>
      </c>
      <c r="E290" s="6">
        <v>5.0</v>
      </c>
      <c r="F290" s="7">
        <v>2984.65</v>
      </c>
      <c r="G290" s="2" t="s">
        <v>934</v>
      </c>
      <c r="H290" s="2" t="s">
        <v>935</v>
      </c>
      <c r="I290" s="2" t="s">
        <v>936</v>
      </c>
    </row>
    <row r="291" ht="15.75" customHeight="1">
      <c r="A291" s="1">
        <v>45606.0</v>
      </c>
      <c r="B291" s="3" t="s">
        <v>29</v>
      </c>
      <c r="C291" s="2" t="s">
        <v>427</v>
      </c>
      <c r="D291" s="6">
        <v>1650.53</v>
      </c>
      <c r="E291" s="6">
        <v>1.0</v>
      </c>
      <c r="F291" s="7">
        <v>1650.53</v>
      </c>
      <c r="G291" s="2" t="s">
        <v>937</v>
      </c>
      <c r="H291" s="2" t="s">
        <v>938</v>
      </c>
      <c r="I291" s="2" t="s">
        <v>939</v>
      </c>
    </row>
    <row r="292" ht="15.75" customHeight="1">
      <c r="A292" s="1">
        <v>45606.0</v>
      </c>
      <c r="B292" s="3" t="s">
        <v>74</v>
      </c>
      <c r="C292" s="2" t="s">
        <v>115</v>
      </c>
      <c r="D292" s="6">
        <v>2114.99</v>
      </c>
      <c r="E292" s="6">
        <v>1.0</v>
      </c>
      <c r="F292" s="7">
        <v>2114.99</v>
      </c>
      <c r="G292" s="2" t="s">
        <v>940</v>
      </c>
      <c r="H292" s="2" t="s">
        <v>941</v>
      </c>
      <c r="I292" s="2" t="s">
        <v>942</v>
      </c>
    </row>
    <row r="293" ht="15.75" customHeight="1">
      <c r="A293" s="1">
        <v>45606.0</v>
      </c>
      <c r="B293" s="3" t="s">
        <v>29</v>
      </c>
      <c r="C293" s="2" t="s">
        <v>30</v>
      </c>
      <c r="D293" s="6">
        <v>169.2</v>
      </c>
      <c r="E293" s="6">
        <v>3.0</v>
      </c>
      <c r="F293" s="7">
        <v>507.6</v>
      </c>
      <c r="G293" s="2" t="s">
        <v>943</v>
      </c>
      <c r="H293" s="2" t="s">
        <v>944</v>
      </c>
      <c r="I293" s="2" t="s">
        <v>945</v>
      </c>
    </row>
    <row r="294" ht="15.75" customHeight="1">
      <c r="A294" s="1">
        <v>45606.0</v>
      </c>
      <c r="B294" s="3" t="s">
        <v>74</v>
      </c>
      <c r="C294" s="2" t="s">
        <v>386</v>
      </c>
      <c r="D294" s="6">
        <v>1614.84</v>
      </c>
      <c r="E294" s="6">
        <v>3.0</v>
      </c>
      <c r="F294" s="7">
        <v>4844.52</v>
      </c>
      <c r="G294" s="2" t="s">
        <v>946</v>
      </c>
      <c r="H294" s="2" t="s">
        <v>947</v>
      </c>
      <c r="I294" s="2" t="s">
        <v>948</v>
      </c>
    </row>
    <row r="295" ht="15.75" customHeight="1">
      <c r="A295" s="1">
        <v>45606.0</v>
      </c>
      <c r="B295" s="3" t="s">
        <v>74</v>
      </c>
      <c r="C295" s="2" t="s">
        <v>70</v>
      </c>
      <c r="D295" s="6">
        <v>360.98</v>
      </c>
      <c r="E295" s="6">
        <v>3.0</v>
      </c>
      <c r="F295" s="7">
        <v>1082.94</v>
      </c>
      <c r="G295" s="2" t="s">
        <v>949</v>
      </c>
      <c r="H295" s="2" t="s">
        <v>950</v>
      </c>
      <c r="I295" s="2" t="s">
        <v>951</v>
      </c>
    </row>
    <row r="296" ht="15.75" customHeight="1">
      <c r="A296" s="1">
        <v>45606.0</v>
      </c>
      <c r="B296" s="3" t="s">
        <v>9</v>
      </c>
      <c r="C296" s="2" t="s">
        <v>10</v>
      </c>
      <c r="D296" s="6">
        <v>1447.41</v>
      </c>
      <c r="E296" s="6">
        <v>4.0</v>
      </c>
      <c r="F296" s="7">
        <v>5789.64</v>
      </c>
      <c r="G296" s="2" t="s">
        <v>952</v>
      </c>
      <c r="H296" s="2" t="s">
        <v>953</v>
      </c>
      <c r="I296" s="2" t="s">
        <v>954</v>
      </c>
    </row>
    <row r="297" ht="15.75" customHeight="1">
      <c r="A297" s="1">
        <v>45606.0</v>
      </c>
      <c r="B297" s="2" t="s">
        <v>34</v>
      </c>
      <c r="C297" s="2" t="s">
        <v>15</v>
      </c>
      <c r="D297" s="6">
        <v>1746.28</v>
      </c>
      <c r="E297" s="6">
        <v>2.0</v>
      </c>
      <c r="F297" s="7">
        <v>3492.56</v>
      </c>
      <c r="G297" s="2" t="s">
        <v>955</v>
      </c>
      <c r="H297" s="2" t="s">
        <v>956</v>
      </c>
      <c r="I297" s="2" t="s">
        <v>957</v>
      </c>
    </row>
    <row r="298" ht="15.75" customHeight="1">
      <c r="A298" s="1">
        <v>45606.0</v>
      </c>
      <c r="B298" s="3" t="s">
        <v>87</v>
      </c>
      <c r="C298" s="2" t="s">
        <v>83</v>
      </c>
      <c r="D298" s="6">
        <v>2390.84</v>
      </c>
      <c r="E298" s="6">
        <v>5.0</v>
      </c>
      <c r="F298" s="7">
        <v>11954.2</v>
      </c>
      <c r="G298" s="2" t="s">
        <v>958</v>
      </c>
      <c r="H298" s="2" t="s">
        <v>959</v>
      </c>
      <c r="I298" s="2" t="s">
        <v>960</v>
      </c>
    </row>
    <row r="299" ht="15.75" customHeight="1">
      <c r="A299" s="1">
        <v>45606.0</v>
      </c>
      <c r="B299" s="2" t="s">
        <v>34</v>
      </c>
      <c r="C299" s="2" t="s">
        <v>215</v>
      </c>
      <c r="D299" s="6">
        <v>1415.48</v>
      </c>
      <c r="E299" s="6">
        <v>1.0</v>
      </c>
      <c r="F299" s="7">
        <v>1415.48</v>
      </c>
      <c r="G299" s="2" t="s">
        <v>961</v>
      </c>
      <c r="H299" s="2" t="s">
        <v>962</v>
      </c>
      <c r="I299" s="2" t="s">
        <v>963</v>
      </c>
    </row>
    <row r="300" ht="15.75" customHeight="1">
      <c r="A300" s="1">
        <v>45606.0</v>
      </c>
      <c r="B300" s="3" t="s">
        <v>9</v>
      </c>
      <c r="C300" s="2" t="s">
        <v>279</v>
      </c>
      <c r="D300" s="6">
        <v>1384.09</v>
      </c>
      <c r="E300" s="6">
        <v>2.0</v>
      </c>
      <c r="F300" s="7">
        <v>2768.18</v>
      </c>
      <c r="G300" s="2" t="s">
        <v>964</v>
      </c>
      <c r="H300" s="2" t="s">
        <v>965</v>
      </c>
      <c r="I300" s="2" t="s">
        <v>966</v>
      </c>
    </row>
    <row r="301" ht="15.75" customHeight="1">
      <c r="A301" s="1">
        <v>45607.0</v>
      </c>
      <c r="B301" s="3" t="s">
        <v>74</v>
      </c>
      <c r="C301" s="2" t="s">
        <v>187</v>
      </c>
      <c r="D301" s="6">
        <v>1933.07</v>
      </c>
      <c r="E301" s="6">
        <v>3.0</v>
      </c>
      <c r="F301" s="7">
        <v>5799.21</v>
      </c>
      <c r="G301" s="2" t="s">
        <v>967</v>
      </c>
      <c r="H301" s="2" t="s">
        <v>968</v>
      </c>
      <c r="I301" s="2" t="s">
        <v>969</v>
      </c>
    </row>
    <row r="302" ht="15.75" customHeight="1">
      <c r="A302" s="1">
        <v>45607.0</v>
      </c>
      <c r="B302" s="3" t="s">
        <v>14</v>
      </c>
      <c r="C302" s="2" t="s">
        <v>161</v>
      </c>
      <c r="D302" s="6">
        <v>1492.73</v>
      </c>
      <c r="E302" s="6">
        <v>5.0</v>
      </c>
      <c r="F302" s="7">
        <v>7463.65</v>
      </c>
      <c r="G302" s="2" t="s">
        <v>970</v>
      </c>
      <c r="H302" s="2" t="s">
        <v>971</v>
      </c>
      <c r="I302" s="2" t="s">
        <v>972</v>
      </c>
    </row>
    <row r="303" ht="15.75" customHeight="1">
      <c r="A303" s="1">
        <v>45607.0</v>
      </c>
      <c r="B303" s="2" t="s">
        <v>114</v>
      </c>
      <c r="C303" s="2" t="s">
        <v>22</v>
      </c>
      <c r="D303" s="6">
        <v>1170.2</v>
      </c>
      <c r="E303" s="6">
        <v>1.0</v>
      </c>
      <c r="F303" s="7">
        <v>1170.2</v>
      </c>
      <c r="G303" s="2" t="s">
        <v>973</v>
      </c>
      <c r="H303" s="2" t="s">
        <v>974</v>
      </c>
      <c r="I303" s="2" t="s">
        <v>975</v>
      </c>
    </row>
    <row r="304" ht="15.75" customHeight="1">
      <c r="A304" s="1">
        <v>45607.0</v>
      </c>
      <c r="B304" s="3" t="s">
        <v>29</v>
      </c>
      <c r="C304" s="2" t="s">
        <v>187</v>
      </c>
      <c r="D304" s="6">
        <v>569.35</v>
      </c>
      <c r="E304" s="6">
        <v>4.0</v>
      </c>
      <c r="F304" s="7">
        <v>2277.4</v>
      </c>
      <c r="G304" s="2" t="s">
        <v>976</v>
      </c>
      <c r="H304" s="2" t="s">
        <v>977</v>
      </c>
      <c r="I304" s="2" t="s">
        <v>978</v>
      </c>
    </row>
    <row r="305" ht="15.75" customHeight="1">
      <c r="A305" s="1">
        <v>45607.0</v>
      </c>
      <c r="B305" s="3" t="s">
        <v>9</v>
      </c>
      <c r="C305" s="2" t="s">
        <v>66</v>
      </c>
      <c r="D305" s="6">
        <v>664.19</v>
      </c>
      <c r="E305" s="6">
        <v>4.0</v>
      </c>
      <c r="F305" s="7">
        <v>2656.76</v>
      </c>
      <c r="G305" s="2" t="s">
        <v>979</v>
      </c>
      <c r="H305" s="2" t="s">
        <v>980</v>
      </c>
      <c r="I305" s="2" t="s">
        <v>981</v>
      </c>
    </row>
    <row r="306" ht="15.75" customHeight="1">
      <c r="A306" s="1">
        <v>45607.0</v>
      </c>
      <c r="B306" s="3" t="s">
        <v>14</v>
      </c>
      <c r="C306" s="2" t="s">
        <v>53</v>
      </c>
      <c r="D306" s="6">
        <v>214.86</v>
      </c>
      <c r="E306" s="6">
        <v>5.0</v>
      </c>
      <c r="F306" s="7">
        <v>1074.3</v>
      </c>
      <c r="G306" s="2" t="s">
        <v>982</v>
      </c>
      <c r="H306" s="2" t="s">
        <v>983</v>
      </c>
      <c r="I306" s="2" t="s">
        <v>984</v>
      </c>
    </row>
    <row r="307" ht="15.75" customHeight="1">
      <c r="A307" s="1">
        <v>45607.0</v>
      </c>
      <c r="B307" s="2" t="s">
        <v>34</v>
      </c>
      <c r="C307" s="2" t="s">
        <v>230</v>
      </c>
      <c r="D307" s="6">
        <v>499.69</v>
      </c>
      <c r="E307" s="6">
        <v>1.0</v>
      </c>
      <c r="F307" s="7">
        <v>499.69</v>
      </c>
      <c r="G307" s="2" t="s">
        <v>985</v>
      </c>
      <c r="H307" s="2" t="s">
        <v>986</v>
      </c>
      <c r="I307" s="2" t="s">
        <v>987</v>
      </c>
    </row>
    <row r="308" ht="15.75" customHeight="1">
      <c r="A308" s="1">
        <v>45607.0</v>
      </c>
      <c r="B308" s="3" t="s">
        <v>9</v>
      </c>
      <c r="C308" s="2" t="s">
        <v>179</v>
      </c>
      <c r="D308" s="6">
        <v>2442.23</v>
      </c>
      <c r="E308" s="6">
        <v>4.0</v>
      </c>
      <c r="F308" s="7">
        <v>9768.92</v>
      </c>
      <c r="G308" s="2" t="s">
        <v>988</v>
      </c>
      <c r="H308" s="2" t="s">
        <v>989</v>
      </c>
      <c r="I308" s="2" t="s">
        <v>990</v>
      </c>
    </row>
    <row r="309" ht="15.75" customHeight="1">
      <c r="A309" s="1">
        <v>45607.0</v>
      </c>
      <c r="B309" s="3" t="s">
        <v>14</v>
      </c>
      <c r="C309" s="2" t="s">
        <v>137</v>
      </c>
      <c r="D309" s="6">
        <v>2498.64</v>
      </c>
      <c r="E309" s="6">
        <v>2.0</v>
      </c>
      <c r="F309" s="7">
        <v>4997.28</v>
      </c>
      <c r="G309" s="2" t="s">
        <v>991</v>
      </c>
      <c r="H309" s="2" t="s">
        <v>992</v>
      </c>
      <c r="I309" s="2" t="s">
        <v>993</v>
      </c>
    </row>
    <row r="310" ht="15.75" customHeight="1">
      <c r="A310" s="1">
        <v>45608.0</v>
      </c>
      <c r="B310" s="3" t="s">
        <v>14</v>
      </c>
      <c r="C310" s="2" t="s">
        <v>161</v>
      </c>
      <c r="D310" s="6">
        <v>2333.72</v>
      </c>
      <c r="E310" s="6">
        <v>2.0</v>
      </c>
      <c r="F310" s="7">
        <v>4667.44</v>
      </c>
      <c r="G310" s="2" t="s">
        <v>994</v>
      </c>
      <c r="H310" s="2" t="s">
        <v>995</v>
      </c>
      <c r="I310" s="2" t="s">
        <v>996</v>
      </c>
    </row>
    <row r="311" ht="15.75" customHeight="1">
      <c r="A311" s="1">
        <v>45608.0</v>
      </c>
      <c r="B311" s="2" t="s">
        <v>34</v>
      </c>
      <c r="C311" s="2" t="s">
        <v>15</v>
      </c>
      <c r="D311" s="6">
        <v>100.98</v>
      </c>
      <c r="E311" s="6">
        <v>3.0</v>
      </c>
      <c r="F311" s="7">
        <v>302.94</v>
      </c>
      <c r="G311" s="2" t="s">
        <v>997</v>
      </c>
      <c r="H311" s="2" t="s">
        <v>998</v>
      </c>
      <c r="I311" s="2" t="s">
        <v>999</v>
      </c>
    </row>
    <row r="312" ht="15.75" customHeight="1">
      <c r="A312" s="1">
        <v>45608.0</v>
      </c>
      <c r="B312" s="2" t="s">
        <v>57</v>
      </c>
      <c r="C312" s="2" t="s">
        <v>66</v>
      </c>
      <c r="D312" s="6">
        <v>2437.77</v>
      </c>
      <c r="E312" s="6">
        <v>2.0</v>
      </c>
      <c r="F312" s="7">
        <v>4875.54</v>
      </c>
      <c r="G312" s="2" t="s">
        <v>1000</v>
      </c>
      <c r="H312" s="2" t="s">
        <v>1001</v>
      </c>
      <c r="I312" s="2" t="s">
        <v>1002</v>
      </c>
    </row>
    <row r="313" ht="15.75" customHeight="1">
      <c r="A313" s="1">
        <v>45608.0</v>
      </c>
      <c r="B313" s="3" t="s">
        <v>74</v>
      </c>
      <c r="C313" s="2" t="s">
        <v>83</v>
      </c>
      <c r="D313" s="6">
        <v>1281.78</v>
      </c>
      <c r="E313" s="6">
        <v>3.0</v>
      </c>
      <c r="F313" s="7">
        <v>3845.34</v>
      </c>
      <c r="G313" s="2" t="s">
        <v>1003</v>
      </c>
      <c r="H313" s="2" t="s">
        <v>1004</v>
      </c>
      <c r="I313" s="2" t="s">
        <v>1005</v>
      </c>
    </row>
    <row r="314" ht="15.75" customHeight="1">
      <c r="A314" s="1">
        <v>45608.0</v>
      </c>
      <c r="B314" s="3" t="s">
        <v>14</v>
      </c>
      <c r="C314" s="2" t="s">
        <v>279</v>
      </c>
      <c r="D314" s="6">
        <v>2012.81</v>
      </c>
      <c r="E314" s="6">
        <v>4.0</v>
      </c>
      <c r="F314" s="7">
        <v>8051.24</v>
      </c>
      <c r="G314" s="2" t="s">
        <v>1006</v>
      </c>
      <c r="H314" s="2" t="s">
        <v>1007</v>
      </c>
      <c r="I314" s="2" t="s">
        <v>1008</v>
      </c>
    </row>
    <row r="315" ht="15.75" customHeight="1">
      <c r="A315" s="1">
        <v>45608.0</v>
      </c>
      <c r="B315" s="2" t="s">
        <v>57</v>
      </c>
      <c r="C315" s="2" t="s">
        <v>62</v>
      </c>
      <c r="D315" s="6">
        <v>1673.73</v>
      </c>
      <c r="E315" s="6">
        <v>1.0</v>
      </c>
      <c r="F315" s="7">
        <v>1673.73</v>
      </c>
      <c r="G315" s="2" t="s">
        <v>1009</v>
      </c>
      <c r="H315" s="2" t="s">
        <v>1010</v>
      </c>
      <c r="I315" s="2" t="s">
        <v>1011</v>
      </c>
    </row>
    <row r="316" ht="15.75" customHeight="1">
      <c r="A316" s="1">
        <v>45608.0</v>
      </c>
      <c r="B316" s="2" t="s">
        <v>34</v>
      </c>
      <c r="C316" s="2" t="s">
        <v>35</v>
      </c>
      <c r="D316" s="6">
        <v>1151.85</v>
      </c>
      <c r="E316" s="6">
        <v>5.0</v>
      </c>
      <c r="F316" s="7">
        <v>5759.25</v>
      </c>
      <c r="G316" s="2" t="s">
        <v>1012</v>
      </c>
      <c r="H316" s="2" t="s">
        <v>1013</v>
      </c>
      <c r="I316" s="2" t="s">
        <v>1014</v>
      </c>
    </row>
    <row r="317" ht="15.75" customHeight="1">
      <c r="A317" s="1">
        <v>45608.0</v>
      </c>
      <c r="B317" s="2" t="s">
        <v>57</v>
      </c>
      <c r="C317" s="2" t="s">
        <v>88</v>
      </c>
      <c r="D317" s="6">
        <v>1032.0</v>
      </c>
      <c r="E317" s="6">
        <v>4.0</v>
      </c>
      <c r="F317" s="7">
        <v>4128.0</v>
      </c>
      <c r="G317" s="2" t="s">
        <v>1015</v>
      </c>
      <c r="H317" s="2" t="s">
        <v>1016</v>
      </c>
      <c r="I317" s="2" t="s">
        <v>1017</v>
      </c>
    </row>
    <row r="318" ht="15.75" customHeight="1">
      <c r="A318" s="1">
        <v>45608.0</v>
      </c>
      <c r="B318" s="3" t="s">
        <v>74</v>
      </c>
      <c r="C318" s="2" t="s">
        <v>35</v>
      </c>
      <c r="D318" s="2"/>
      <c r="E318" s="6">
        <v>2.0</v>
      </c>
      <c r="F318" s="7">
        <v>3713.2</v>
      </c>
      <c r="G318" s="2" t="s">
        <v>1018</v>
      </c>
      <c r="H318" s="2" t="s">
        <v>1019</v>
      </c>
      <c r="I318" s="2" t="s">
        <v>1020</v>
      </c>
    </row>
    <row r="319" ht="15.75" customHeight="1">
      <c r="A319" s="1">
        <v>45608.0</v>
      </c>
      <c r="B319" s="3" t="s">
        <v>9</v>
      </c>
      <c r="C319" s="2" t="s">
        <v>70</v>
      </c>
      <c r="D319" s="6">
        <v>1383.94</v>
      </c>
      <c r="E319" s="6">
        <v>3.0</v>
      </c>
      <c r="F319" s="7">
        <v>4151.82</v>
      </c>
      <c r="G319" s="2" t="s">
        <v>1021</v>
      </c>
      <c r="H319" s="2" t="s">
        <v>1022</v>
      </c>
      <c r="I319" s="2" t="s">
        <v>1023</v>
      </c>
    </row>
    <row r="320" ht="15.75" customHeight="1">
      <c r="A320" s="1">
        <v>45608.0</v>
      </c>
      <c r="B320" s="2" t="s">
        <v>57</v>
      </c>
      <c r="C320" s="2" t="s">
        <v>230</v>
      </c>
      <c r="D320" s="6">
        <v>812.41</v>
      </c>
      <c r="E320" s="6">
        <v>5.0</v>
      </c>
      <c r="F320" s="7">
        <v>4062.05</v>
      </c>
      <c r="G320" s="2" t="s">
        <v>1024</v>
      </c>
      <c r="H320" s="2" t="s">
        <v>1025</v>
      </c>
      <c r="I320" s="2" t="s">
        <v>1026</v>
      </c>
    </row>
    <row r="321" ht="15.75" customHeight="1">
      <c r="A321" s="1">
        <v>45608.0</v>
      </c>
      <c r="B321" s="2" t="s">
        <v>57</v>
      </c>
      <c r="C321" s="2" t="s">
        <v>22</v>
      </c>
      <c r="D321" s="6">
        <v>424.12</v>
      </c>
      <c r="E321" s="6">
        <v>2.0</v>
      </c>
      <c r="F321" s="7">
        <v>848.24</v>
      </c>
      <c r="G321" s="2" t="s">
        <v>1027</v>
      </c>
      <c r="H321" s="2" t="s">
        <v>1028</v>
      </c>
      <c r="I321" s="2" t="s">
        <v>1029</v>
      </c>
    </row>
    <row r="322" ht="15.75" customHeight="1">
      <c r="A322" s="1">
        <v>45609.0</v>
      </c>
      <c r="B322" s="3" t="s">
        <v>14</v>
      </c>
      <c r="C322" s="2" t="s">
        <v>58</v>
      </c>
      <c r="D322" s="2"/>
      <c r="E322" s="6">
        <v>1.0</v>
      </c>
      <c r="F322" s="7">
        <v>1787.41</v>
      </c>
      <c r="G322" s="2" t="s">
        <v>1030</v>
      </c>
      <c r="H322" s="2" t="s">
        <v>1031</v>
      </c>
      <c r="I322" s="2" t="s">
        <v>1032</v>
      </c>
    </row>
    <row r="323" ht="15.75" customHeight="1">
      <c r="A323" s="1">
        <v>45609.0</v>
      </c>
      <c r="B323" s="3" t="s">
        <v>9</v>
      </c>
      <c r="C323" s="2" t="s">
        <v>92</v>
      </c>
      <c r="D323" s="6">
        <v>625.41</v>
      </c>
      <c r="E323" s="6">
        <v>2.0</v>
      </c>
      <c r="F323" s="7">
        <v>1250.82</v>
      </c>
      <c r="G323" s="2" t="s">
        <v>1033</v>
      </c>
      <c r="H323" s="2" t="s">
        <v>1034</v>
      </c>
      <c r="I323" s="2" t="s">
        <v>1035</v>
      </c>
    </row>
    <row r="324" ht="15.75" customHeight="1">
      <c r="A324" s="1">
        <v>45609.0</v>
      </c>
      <c r="B324" s="3" t="s">
        <v>29</v>
      </c>
      <c r="C324" s="2" t="s">
        <v>316</v>
      </c>
      <c r="D324" s="6">
        <v>2393.92</v>
      </c>
      <c r="E324" s="6">
        <v>3.0</v>
      </c>
      <c r="F324" s="7">
        <v>7181.76</v>
      </c>
      <c r="G324" s="2" t="s">
        <v>1036</v>
      </c>
      <c r="H324" s="2" t="s">
        <v>1037</v>
      </c>
      <c r="I324" s="2" t="s">
        <v>1038</v>
      </c>
    </row>
    <row r="325" ht="15.75" customHeight="1">
      <c r="A325" s="1">
        <v>45609.0</v>
      </c>
      <c r="B325" s="3" t="s">
        <v>9</v>
      </c>
      <c r="C325" s="2" t="s">
        <v>15</v>
      </c>
      <c r="D325" s="6">
        <v>724.54</v>
      </c>
      <c r="E325" s="6">
        <v>5.0</v>
      </c>
      <c r="F325" s="7">
        <v>3622.7</v>
      </c>
      <c r="G325" s="2" t="s">
        <v>1039</v>
      </c>
      <c r="H325" s="2" t="s">
        <v>1040</v>
      </c>
      <c r="I325" s="2" t="s">
        <v>1041</v>
      </c>
    </row>
    <row r="326" ht="15.75" customHeight="1">
      <c r="A326" s="1">
        <v>45609.0</v>
      </c>
      <c r="B326" s="3" t="s">
        <v>29</v>
      </c>
      <c r="C326" s="2" t="s">
        <v>256</v>
      </c>
      <c r="D326" s="6">
        <v>1665.73</v>
      </c>
      <c r="E326" s="6">
        <v>2.0</v>
      </c>
      <c r="F326" s="7">
        <v>3331.46</v>
      </c>
      <c r="G326" s="2" t="s">
        <v>1042</v>
      </c>
      <c r="H326" s="2" t="s">
        <v>1043</v>
      </c>
      <c r="I326" s="2" t="s">
        <v>1044</v>
      </c>
    </row>
    <row r="327" ht="15.75" customHeight="1">
      <c r="A327" s="1">
        <v>45609.0</v>
      </c>
      <c r="B327" s="3" t="s">
        <v>14</v>
      </c>
      <c r="C327" s="2" t="s">
        <v>179</v>
      </c>
      <c r="D327" s="6">
        <v>1373.32</v>
      </c>
      <c r="E327" s="6">
        <v>1.0</v>
      </c>
      <c r="F327" s="7">
        <v>1373.32</v>
      </c>
      <c r="G327" s="2" t="s">
        <v>1045</v>
      </c>
      <c r="H327" s="2" t="s">
        <v>1046</v>
      </c>
      <c r="I327" s="2" t="s">
        <v>1047</v>
      </c>
    </row>
    <row r="328" ht="15.75" customHeight="1">
      <c r="A328" s="1">
        <v>45609.0</v>
      </c>
      <c r="B328" s="2" t="s">
        <v>57</v>
      </c>
      <c r="C328" s="2" t="s">
        <v>183</v>
      </c>
      <c r="D328" s="6">
        <v>1899.66</v>
      </c>
      <c r="E328" s="6">
        <v>2.0</v>
      </c>
      <c r="F328" s="7">
        <v>3799.32</v>
      </c>
      <c r="G328" s="2" t="s">
        <v>1048</v>
      </c>
      <c r="H328" s="2" t="s">
        <v>1049</v>
      </c>
      <c r="I328" s="8" t="s">
        <v>1050</v>
      </c>
    </row>
    <row r="329" ht="15.75" customHeight="1">
      <c r="A329" s="1">
        <v>45609.0</v>
      </c>
      <c r="B329" s="3" t="s">
        <v>74</v>
      </c>
      <c r="C329" s="2" t="s">
        <v>130</v>
      </c>
      <c r="D329" s="6">
        <v>1873.69</v>
      </c>
      <c r="E329" s="6">
        <v>2.0</v>
      </c>
      <c r="F329" s="7">
        <v>3747.38</v>
      </c>
      <c r="G329" s="2" t="s">
        <v>1051</v>
      </c>
      <c r="H329" s="2" t="s">
        <v>1052</v>
      </c>
      <c r="I329" s="2" t="s">
        <v>1053</v>
      </c>
    </row>
    <row r="330" ht="15.75" customHeight="1">
      <c r="A330" s="1">
        <v>45609.0</v>
      </c>
      <c r="B330" s="2" t="s">
        <v>57</v>
      </c>
      <c r="C330" s="2" t="s">
        <v>49</v>
      </c>
      <c r="D330" s="6">
        <v>181.51</v>
      </c>
      <c r="E330" s="6">
        <v>5.0</v>
      </c>
      <c r="F330" s="7">
        <v>907.55</v>
      </c>
      <c r="G330" s="2" t="s">
        <v>1054</v>
      </c>
      <c r="H330" s="2" t="s">
        <v>1055</v>
      </c>
      <c r="I330" s="2" t="s">
        <v>1056</v>
      </c>
    </row>
    <row r="331" ht="15.75" customHeight="1">
      <c r="A331" s="1">
        <v>45609.0</v>
      </c>
      <c r="B331" s="3" t="s">
        <v>14</v>
      </c>
      <c r="C331" s="2" t="s">
        <v>165</v>
      </c>
      <c r="D331" s="6">
        <v>1029.22</v>
      </c>
      <c r="E331" s="6">
        <v>5.0</v>
      </c>
      <c r="F331" s="7">
        <v>5146.1</v>
      </c>
      <c r="G331" s="2" t="s">
        <v>1057</v>
      </c>
      <c r="H331" s="2" t="s">
        <v>1058</v>
      </c>
      <c r="I331" s="2" t="s">
        <v>1059</v>
      </c>
    </row>
    <row r="332" ht="15.75" customHeight="1">
      <c r="A332" s="1">
        <v>45609.0</v>
      </c>
      <c r="B332" s="2" t="s">
        <v>34</v>
      </c>
      <c r="C332" s="2" t="s">
        <v>427</v>
      </c>
      <c r="D332" s="6">
        <v>1177.91</v>
      </c>
      <c r="E332" s="6">
        <v>2.0</v>
      </c>
      <c r="F332" s="7">
        <v>2355.82</v>
      </c>
      <c r="G332" s="2" t="s">
        <v>1060</v>
      </c>
      <c r="H332" s="2" t="s">
        <v>1061</v>
      </c>
      <c r="I332" s="2" t="s">
        <v>1062</v>
      </c>
    </row>
    <row r="333" ht="15.75" customHeight="1">
      <c r="A333" s="1">
        <v>45610.0</v>
      </c>
      <c r="B333" s="3" t="s">
        <v>74</v>
      </c>
      <c r="C333" s="2" t="s">
        <v>22</v>
      </c>
      <c r="D333" s="6">
        <v>1618.43</v>
      </c>
      <c r="E333" s="6">
        <v>3.0</v>
      </c>
      <c r="F333" s="7">
        <v>4855.29</v>
      </c>
      <c r="G333" s="2" t="s">
        <v>1063</v>
      </c>
      <c r="H333" s="2" t="s">
        <v>1064</v>
      </c>
      <c r="I333" s="2" t="s">
        <v>1065</v>
      </c>
    </row>
    <row r="334" ht="15.75" customHeight="1">
      <c r="A334" s="1">
        <v>45610.0</v>
      </c>
      <c r="B334" s="2" t="s">
        <v>57</v>
      </c>
      <c r="C334" s="2" t="s">
        <v>316</v>
      </c>
      <c r="D334" s="6">
        <v>2064.2</v>
      </c>
      <c r="E334" s="6">
        <v>1.0</v>
      </c>
      <c r="F334" s="7">
        <v>2064.2</v>
      </c>
      <c r="G334" s="2" t="s">
        <v>1066</v>
      </c>
      <c r="H334" s="2" t="s">
        <v>1067</v>
      </c>
      <c r="I334" s="2" t="s">
        <v>1068</v>
      </c>
    </row>
    <row r="335" ht="15.75" customHeight="1">
      <c r="A335" s="1">
        <v>45610.0</v>
      </c>
      <c r="B335" s="3" t="s">
        <v>29</v>
      </c>
      <c r="C335" s="2" t="s">
        <v>215</v>
      </c>
      <c r="D335" s="6">
        <v>1152.44</v>
      </c>
      <c r="E335" s="6">
        <v>5.0</v>
      </c>
      <c r="F335" s="7">
        <v>5762.2</v>
      </c>
      <c r="G335" s="2" t="s">
        <v>1069</v>
      </c>
      <c r="H335" s="2" t="s">
        <v>1070</v>
      </c>
      <c r="I335" s="2" t="s">
        <v>1071</v>
      </c>
    </row>
    <row r="336" ht="15.75" customHeight="1">
      <c r="A336" s="1">
        <v>45610.0</v>
      </c>
      <c r="B336" s="2" t="s">
        <v>57</v>
      </c>
      <c r="C336" s="2" t="s">
        <v>15</v>
      </c>
      <c r="D336" s="6">
        <v>1051.49</v>
      </c>
      <c r="E336" s="6">
        <v>3.0</v>
      </c>
      <c r="F336" s="7">
        <v>3154.47</v>
      </c>
      <c r="G336" s="2" t="s">
        <v>1072</v>
      </c>
      <c r="H336" s="2" t="s">
        <v>1073</v>
      </c>
      <c r="I336" s="2" t="s">
        <v>1074</v>
      </c>
    </row>
    <row r="337" ht="15.75" customHeight="1">
      <c r="A337" s="1">
        <v>45610.0</v>
      </c>
      <c r="B337" s="2" t="s">
        <v>57</v>
      </c>
      <c r="C337" s="2" t="s">
        <v>1075</v>
      </c>
      <c r="D337" s="6">
        <v>446.49</v>
      </c>
      <c r="E337" s="6">
        <v>3.0</v>
      </c>
      <c r="F337" s="7">
        <v>1339.47</v>
      </c>
      <c r="G337" s="2" t="s">
        <v>1076</v>
      </c>
      <c r="H337" s="2" t="s">
        <v>1077</v>
      </c>
      <c r="I337" s="2" t="s">
        <v>1078</v>
      </c>
    </row>
    <row r="338" ht="15.75" customHeight="1">
      <c r="A338" s="1">
        <v>45610.0</v>
      </c>
      <c r="B338" s="2" t="s">
        <v>34</v>
      </c>
      <c r="C338" s="2" t="s">
        <v>269</v>
      </c>
      <c r="D338" s="6">
        <v>879.78</v>
      </c>
      <c r="E338" s="6">
        <v>1.0</v>
      </c>
      <c r="F338" s="7">
        <v>879.78</v>
      </c>
      <c r="G338" s="2" t="s">
        <v>1079</v>
      </c>
      <c r="H338" s="2" t="s">
        <v>1080</v>
      </c>
      <c r="I338" s="2" t="s">
        <v>1081</v>
      </c>
    </row>
    <row r="339" ht="15.75" customHeight="1">
      <c r="A339" s="1">
        <v>45610.0</v>
      </c>
      <c r="B339" s="2" t="s">
        <v>34</v>
      </c>
      <c r="C339" s="2" t="s">
        <v>10</v>
      </c>
      <c r="D339" s="6">
        <v>1001.15</v>
      </c>
      <c r="E339" s="6">
        <v>4.0</v>
      </c>
      <c r="F339" s="7">
        <v>4004.6</v>
      </c>
      <c r="G339" s="2" t="s">
        <v>1082</v>
      </c>
      <c r="H339" s="2" t="s">
        <v>1083</v>
      </c>
      <c r="I339" s="2" t="s">
        <v>1084</v>
      </c>
    </row>
    <row r="340" ht="15.75" customHeight="1">
      <c r="A340" s="1">
        <v>45610.0</v>
      </c>
      <c r="B340" s="3" t="s">
        <v>9</v>
      </c>
      <c r="C340" s="2" t="s">
        <v>35</v>
      </c>
      <c r="D340" s="6">
        <v>2224.61</v>
      </c>
      <c r="E340" s="6">
        <v>4.0</v>
      </c>
      <c r="F340" s="7">
        <v>8898.44</v>
      </c>
      <c r="G340" s="2" t="s">
        <v>1085</v>
      </c>
      <c r="H340" s="2" t="s">
        <v>1086</v>
      </c>
      <c r="I340" s="2" t="s">
        <v>1087</v>
      </c>
    </row>
    <row r="341" ht="15.75" customHeight="1">
      <c r="A341" s="1">
        <v>45610.0</v>
      </c>
      <c r="B341" s="3" t="s">
        <v>14</v>
      </c>
      <c r="C341" s="2" t="s">
        <v>130</v>
      </c>
      <c r="D341" s="6">
        <v>563.11</v>
      </c>
      <c r="E341" s="6">
        <v>1.0</v>
      </c>
      <c r="F341" s="7">
        <v>563.11</v>
      </c>
      <c r="G341" s="2" t="s">
        <v>1088</v>
      </c>
      <c r="H341" s="2" t="s">
        <v>1089</v>
      </c>
      <c r="I341" s="2" t="s">
        <v>1090</v>
      </c>
    </row>
    <row r="342" ht="15.75" customHeight="1">
      <c r="A342" s="1">
        <v>45610.0</v>
      </c>
      <c r="B342" s="2" t="s">
        <v>34</v>
      </c>
      <c r="C342" s="2" t="s">
        <v>341</v>
      </c>
      <c r="D342" s="6">
        <v>1165.81</v>
      </c>
      <c r="E342" s="6">
        <v>1.0</v>
      </c>
      <c r="F342" s="7">
        <v>1165.81</v>
      </c>
      <c r="G342" s="2" t="s">
        <v>1091</v>
      </c>
      <c r="H342" s="2" t="s">
        <v>1092</v>
      </c>
      <c r="I342" s="2" t="s">
        <v>1093</v>
      </c>
    </row>
    <row r="343" ht="15.75" customHeight="1">
      <c r="A343" s="1">
        <v>45610.0</v>
      </c>
      <c r="B343" s="3" t="s">
        <v>14</v>
      </c>
      <c r="C343" s="2" t="s">
        <v>123</v>
      </c>
      <c r="D343" s="6">
        <v>718.69</v>
      </c>
      <c r="E343" s="6">
        <v>4.0</v>
      </c>
      <c r="F343" s="7">
        <v>2874.76</v>
      </c>
      <c r="G343" s="2" t="s">
        <v>1094</v>
      </c>
      <c r="H343" s="2" t="s">
        <v>1095</v>
      </c>
      <c r="I343" s="2" t="s">
        <v>1096</v>
      </c>
    </row>
    <row r="344" ht="15.75" customHeight="1">
      <c r="A344" s="1">
        <v>45610.0</v>
      </c>
      <c r="B344" s="3" t="s">
        <v>9</v>
      </c>
      <c r="C344" s="2" t="s">
        <v>1097</v>
      </c>
      <c r="D344" s="6">
        <v>2474.36</v>
      </c>
      <c r="E344" s="6">
        <v>2.0</v>
      </c>
      <c r="F344" s="7">
        <v>4948.72</v>
      </c>
      <c r="G344" s="2" t="s">
        <v>1098</v>
      </c>
      <c r="H344" s="2" t="s">
        <v>1099</v>
      </c>
      <c r="I344" s="2" t="s">
        <v>1100</v>
      </c>
    </row>
    <row r="345" ht="15.75" customHeight="1">
      <c r="A345" s="1">
        <v>45610.0</v>
      </c>
      <c r="B345" s="3" t="s">
        <v>74</v>
      </c>
      <c r="C345" s="2" t="s">
        <v>179</v>
      </c>
      <c r="D345" s="6">
        <v>1876.88</v>
      </c>
      <c r="E345" s="6">
        <v>4.0</v>
      </c>
      <c r="F345" s="7">
        <v>7507.52</v>
      </c>
      <c r="G345" s="2" t="s">
        <v>1101</v>
      </c>
      <c r="H345" s="2" t="s">
        <v>1102</v>
      </c>
      <c r="I345" s="2" t="s">
        <v>1103</v>
      </c>
    </row>
    <row r="346" ht="15.75" customHeight="1">
      <c r="A346" s="1">
        <v>45611.0</v>
      </c>
      <c r="B346" s="2" t="s">
        <v>34</v>
      </c>
      <c r="C346" s="2" t="s">
        <v>130</v>
      </c>
      <c r="D346" s="6">
        <v>450.01</v>
      </c>
      <c r="E346" s="6">
        <v>4.0</v>
      </c>
      <c r="F346" s="7">
        <v>1800.04</v>
      </c>
      <c r="G346" s="2" t="s">
        <v>1104</v>
      </c>
      <c r="H346" s="2" t="s">
        <v>1105</v>
      </c>
      <c r="I346" s="2" t="s">
        <v>1106</v>
      </c>
    </row>
    <row r="347" ht="15.75" customHeight="1">
      <c r="A347" s="1">
        <v>45611.0</v>
      </c>
      <c r="B347" s="3" t="s">
        <v>29</v>
      </c>
      <c r="C347" s="2" t="s">
        <v>66</v>
      </c>
      <c r="D347" s="6">
        <v>1808.18</v>
      </c>
      <c r="E347" s="6">
        <v>5.0</v>
      </c>
      <c r="F347" s="7">
        <v>9040.9</v>
      </c>
      <c r="G347" s="2" t="s">
        <v>1107</v>
      </c>
      <c r="H347" s="2" t="s">
        <v>1108</v>
      </c>
      <c r="I347" s="2" t="s">
        <v>1109</v>
      </c>
    </row>
    <row r="348" ht="15.75" customHeight="1">
      <c r="A348" s="1">
        <v>45611.0</v>
      </c>
      <c r="B348" s="3" t="s">
        <v>74</v>
      </c>
      <c r="C348" s="2" t="s">
        <v>179</v>
      </c>
      <c r="D348" s="6">
        <v>914.84</v>
      </c>
      <c r="E348" s="6">
        <v>4.0</v>
      </c>
      <c r="F348" s="7">
        <v>3659.36</v>
      </c>
      <c r="G348" s="2" t="s">
        <v>1110</v>
      </c>
      <c r="H348" s="2" t="s">
        <v>1111</v>
      </c>
      <c r="I348" s="8" t="s">
        <v>1112</v>
      </c>
    </row>
    <row r="349" ht="15.75" customHeight="1">
      <c r="A349" s="1">
        <v>45611.0</v>
      </c>
      <c r="B349" s="2" t="s">
        <v>57</v>
      </c>
      <c r="C349" s="2" t="s">
        <v>75</v>
      </c>
      <c r="D349" s="6">
        <v>210.37</v>
      </c>
      <c r="E349" s="6">
        <v>1.0</v>
      </c>
      <c r="F349" s="7">
        <v>210.37</v>
      </c>
      <c r="G349" s="2" t="s">
        <v>1113</v>
      </c>
      <c r="H349" s="2" t="s">
        <v>1114</v>
      </c>
      <c r="I349" s="2" t="s">
        <v>1115</v>
      </c>
    </row>
    <row r="350" ht="15.75" customHeight="1">
      <c r="A350" s="1">
        <v>45611.0</v>
      </c>
      <c r="B350" s="2" t="s">
        <v>34</v>
      </c>
      <c r="C350" s="2" t="s">
        <v>62</v>
      </c>
      <c r="D350" s="6">
        <v>1767.16</v>
      </c>
      <c r="E350" s="6">
        <v>1.0</v>
      </c>
      <c r="F350" s="7">
        <v>1767.16</v>
      </c>
      <c r="G350" s="2" t="s">
        <v>1116</v>
      </c>
      <c r="H350" s="2" t="s">
        <v>1117</v>
      </c>
      <c r="I350" s="2" t="s">
        <v>1118</v>
      </c>
    </row>
    <row r="351" ht="15.75" customHeight="1">
      <c r="A351" s="1">
        <v>45611.0</v>
      </c>
      <c r="B351" s="2" t="s">
        <v>57</v>
      </c>
      <c r="C351" s="2" t="s">
        <v>427</v>
      </c>
      <c r="D351" s="6">
        <v>1832.97</v>
      </c>
      <c r="E351" s="6">
        <v>2.0</v>
      </c>
      <c r="F351" s="7">
        <v>3665.94</v>
      </c>
      <c r="G351" s="2" t="s">
        <v>1119</v>
      </c>
      <c r="H351" s="2" t="s">
        <v>1120</v>
      </c>
      <c r="I351" s="2" t="s">
        <v>1121</v>
      </c>
    </row>
    <row r="352" ht="15.75" customHeight="1">
      <c r="A352" s="1">
        <v>45611.0</v>
      </c>
      <c r="B352" s="2" t="s">
        <v>57</v>
      </c>
      <c r="C352" s="2" t="s">
        <v>66</v>
      </c>
      <c r="D352" s="6">
        <v>1159.32</v>
      </c>
      <c r="E352" s="6">
        <v>5.0</v>
      </c>
      <c r="F352" s="7">
        <v>5796.6</v>
      </c>
      <c r="G352" s="2" t="s">
        <v>1122</v>
      </c>
      <c r="H352" s="2" t="s">
        <v>1123</v>
      </c>
      <c r="I352" s="2" t="s">
        <v>1124</v>
      </c>
    </row>
    <row r="353" ht="15.75" customHeight="1">
      <c r="A353" s="1">
        <v>45611.0</v>
      </c>
      <c r="B353" s="3" t="s">
        <v>14</v>
      </c>
      <c r="C353" s="2" t="s">
        <v>123</v>
      </c>
      <c r="D353" s="6">
        <v>120.49</v>
      </c>
      <c r="E353" s="6">
        <v>3.0</v>
      </c>
      <c r="F353" s="7">
        <v>361.47</v>
      </c>
      <c r="G353" s="2" t="s">
        <v>1125</v>
      </c>
      <c r="H353" s="2" t="s">
        <v>1126</v>
      </c>
      <c r="I353" s="2" t="s">
        <v>1127</v>
      </c>
    </row>
    <row r="354" ht="15.75" customHeight="1">
      <c r="A354" s="1">
        <v>45611.0</v>
      </c>
      <c r="B354" s="3" t="s">
        <v>74</v>
      </c>
      <c r="C354" s="2" t="s">
        <v>370</v>
      </c>
      <c r="D354" s="6">
        <v>84.76</v>
      </c>
      <c r="E354" s="6">
        <v>4.0</v>
      </c>
      <c r="F354" s="7">
        <v>339.04</v>
      </c>
      <c r="G354" s="2" t="s">
        <v>1128</v>
      </c>
      <c r="H354" s="2" t="s">
        <v>1129</v>
      </c>
      <c r="I354" s="2" t="s">
        <v>1130</v>
      </c>
    </row>
    <row r="355" ht="15.75" customHeight="1">
      <c r="A355" s="1">
        <v>45611.0</v>
      </c>
      <c r="B355" s="3" t="s">
        <v>14</v>
      </c>
      <c r="C355" s="2" t="s">
        <v>161</v>
      </c>
      <c r="D355" s="6">
        <v>969.37</v>
      </c>
      <c r="E355" s="6">
        <v>3.0</v>
      </c>
      <c r="F355" s="7">
        <v>2908.11</v>
      </c>
      <c r="G355" s="2" t="s">
        <v>1131</v>
      </c>
      <c r="H355" s="2" t="s">
        <v>1132</v>
      </c>
      <c r="I355" s="2" t="s">
        <v>1133</v>
      </c>
    </row>
    <row r="356" ht="15.75" customHeight="1">
      <c r="A356" s="1">
        <v>45611.0</v>
      </c>
      <c r="B356" s="2" t="s">
        <v>57</v>
      </c>
      <c r="C356" s="2" t="s">
        <v>130</v>
      </c>
      <c r="D356" s="6">
        <v>1318.47</v>
      </c>
      <c r="E356" s="6">
        <v>1.0</v>
      </c>
      <c r="F356" s="7">
        <v>1318.47</v>
      </c>
      <c r="G356" s="3" t="s">
        <v>1134</v>
      </c>
      <c r="H356" s="2" t="s">
        <v>1135</v>
      </c>
      <c r="I356" s="2" t="s">
        <v>1136</v>
      </c>
    </row>
    <row r="357" ht="15.75" customHeight="1">
      <c r="A357" s="1">
        <v>45611.0</v>
      </c>
      <c r="B357" s="2" t="s">
        <v>57</v>
      </c>
      <c r="C357" s="2" t="s">
        <v>183</v>
      </c>
      <c r="D357" s="6">
        <v>1943.33</v>
      </c>
      <c r="E357" s="6">
        <v>1.0</v>
      </c>
      <c r="F357" s="7">
        <v>1943.33</v>
      </c>
      <c r="G357" s="2" t="s">
        <v>1137</v>
      </c>
      <c r="H357" s="2" t="s">
        <v>1138</v>
      </c>
      <c r="I357" s="2" t="s">
        <v>1139</v>
      </c>
    </row>
    <row r="358" ht="15.75" customHeight="1">
      <c r="A358" s="1">
        <v>45611.0</v>
      </c>
      <c r="B358" s="2" t="s">
        <v>34</v>
      </c>
      <c r="C358" s="2" t="s">
        <v>53</v>
      </c>
      <c r="D358" s="6">
        <v>2040.92</v>
      </c>
      <c r="E358" s="6">
        <v>1.0</v>
      </c>
      <c r="F358" s="7">
        <v>2040.92</v>
      </c>
      <c r="G358" s="2" t="s">
        <v>1140</v>
      </c>
      <c r="H358" s="2" t="s">
        <v>1141</v>
      </c>
      <c r="I358" s="2" t="s">
        <v>1142</v>
      </c>
    </row>
    <row r="359" ht="15.75" customHeight="1">
      <c r="A359" s="1">
        <v>45611.0</v>
      </c>
      <c r="B359" s="2" t="s">
        <v>57</v>
      </c>
      <c r="C359" s="2" t="s">
        <v>370</v>
      </c>
      <c r="D359" s="6">
        <v>1626.83</v>
      </c>
      <c r="E359" s="6">
        <v>1.0</v>
      </c>
      <c r="F359" s="7">
        <v>1626.83</v>
      </c>
      <c r="G359" s="2" t="s">
        <v>1143</v>
      </c>
      <c r="H359" s="2" t="s">
        <v>1144</v>
      </c>
      <c r="I359" s="8" t="s">
        <v>1145</v>
      </c>
    </row>
    <row r="360" ht="15.75" customHeight="1">
      <c r="A360" s="1">
        <v>45612.0</v>
      </c>
      <c r="B360" s="3" t="s">
        <v>29</v>
      </c>
      <c r="C360" s="2" t="s">
        <v>66</v>
      </c>
      <c r="D360" s="6">
        <v>1137.01</v>
      </c>
      <c r="E360" s="6">
        <v>3.0</v>
      </c>
      <c r="F360" s="7">
        <v>3411.03</v>
      </c>
      <c r="G360" s="2" t="s">
        <v>1146</v>
      </c>
      <c r="H360" s="2" t="s">
        <v>1147</v>
      </c>
      <c r="I360" s="2" t="s">
        <v>1148</v>
      </c>
    </row>
    <row r="361" ht="15.75" customHeight="1">
      <c r="A361" s="1">
        <v>45612.0</v>
      </c>
      <c r="B361" s="3" t="s">
        <v>74</v>
      </c>
      <c r="C361" s="2" t="s">
        <v>119</v>
      </c>
      <c r="D361" s="6">
        <v>1216.59</v>
      </c>
      <c r="E361" s="6">
        <v>3.0</v>
      </c>
      <c r="F361" s="7">
        <v>3649.77</v>
      </c>
      <c r="G361" s="2" t="s">
        <v>1149</v>
      </c>
      <c r="H361" s="2" t="s">
        <v>1150</v>
      </c>
      <c r="I361" s="2" t="s">
        <v>1151</v>
      </c>
    </row>
    <row r="362" ht="15.75" customHeight="1">
      <c r="A362" s="1">
        <v>45612.0</v>
      </c>
      <c r="B362" s="3" t="s">
        <v>14</v>
      </c>
      <c r="C362" s="2" t="s">
        <v>79</v>
      </c>
      <c r="D362" s="6">
        <v>1141.88</v>
      </c>
      <c r="E362" s="6">
        <v>5.0</v>
      </c>
      <c r="F362" s="7">
        <v>5709.4</v>
      </c>
      <c r="G362" s="2" t="s">
        <v>1152</v>
      </c>
      <c r="H362" s="2" t="s">
        <v>1153</v>
      </c>
      <c r="I362" s="2" t="s">
        <v>1154</v>
      </c>
    </row>
    <row r="363" ht="15.75" customHeight="1">
      <c r="A363" s="1">
        <v>45612.0</v>
      </c>
      <c r="B363" s="3" t="s">
        <v>9</v>
      </c>
      <c r="C363" s="2" t="s">
        <v>161</v>
      </c>
      <c r="D363" s="6">
        <v>416.81</v>
      </c>
      <c r="E363" s="6">
        <v>2.0</v>
      </c>
      <c r="F363" s="7">
        <v>833.62</v>
      </c>
      <c r="G363" s="2" t="s">
        <v>1155</v>
      </c>
      <c r="H363" s="2" t="s">
        <v>1156</v>
      </c>
      <c r="I363" s="2" t="s">
        <v>1157</v>
      </c>
    </row>
    <row r="364" ht="15.75" customHeight="1">
      <c r="A364" s="1">
        <v>45612.0</v>
      </c>
      <c r="B364" s="3" t="s">
        <v>9</v>
      </c>
      <c r="C364" s="2" t="s">
        <v>15</v>
      </c>
      <c r="D364" s="6">
        <v>347.49</v>
      </c>
      <c r="E364" s="6">
        <v>5.0</v>
      </c>
      <c r="F364" s="7">
        <v>1737.45</v>
      </c>
      <c r="G364" s="2" t="s">
        <v>1158</v>
      </c>
      <c r="H364" s="2" t="s">
        <v>1159</v>
      </c>
      <c r="I364" s="2" t="s">
        <v>1160</v>
      </c>
    </row>
    <row r="365" ht="15.75" customHeight="1">
      <c r="A365" s="1">
        <v>45612.0</v>
      </c>
      <c r="B365" s="2" t="s">
        <v>57</v>
      </c>
      <c r="C365" s="2" t="s">
        <v>187</v>
      </c>
      <c r="D365" s="6">
        <v>1346.1</v>
      </c>
      <c r="E365" s="6">
        <v>1.0</v>
      </c>
      <c r="F365" s="7">
        <v>1346.1</v>
      </c>
      <c r="G365" s="2" t="s">
        <v>1161</v>
      </c>
      <c r="H365" s="2" t="s">
        <v>1162</v>
      </c>
      <c r="I365" s="2" t="s">
        <v>1163</v>
      </c>
    </row>
    <row r="366" ht="15.75" customHeight="1">
      <c r="A366" s="1">
        <v>45612.0</v>
      </c>
      <c r="B366" s="2" t="s">
        <v>57</v>
      </c>
      <c r="C366" s="2" t="s">
        <v>308</v>
      </c>
      <c r="D366" s="6">
        <v>1101.82</v>
      </c>
      <c r="E366" s="6">
        <v>5.0</v>
      </c>
      <c r="F366" s="7">
        <v>5509.1</v>
      </c>
      <c r="G366" s="2" t="s">
        <v>1164</v>
      </c>
      <c r="H366" s="2" t="s">
        <v>1165</v>
      </c>
      <c r="I366" s="2" t="s">
        <v>1166</v>
      </c>
    </row>
    <row r="367" ht="15.75" customHeight="1">
      <c r="A367" s="1">
        <v>45612.0</v>
      </c>
      <c r="B367" s="2" t="s">
        <v>57</v>
      </c>
      <c r="C367" s="2" t="s">
        <v>179</v>
      </c>
      <c r="D367" s="6">
        <v>1843.37</v>
      </c>
      <c r="E367" s="6">
        <v>3.0</v>
      </c>
      <c r="F367" s="7">
        <v>5530.11</v>
      </c>
      <c r="G367" s="2" t="s">
        <v>1167</v>
      </c>
      <c r="H367" s="2" t="s">
        <v>1168</v>
      </c>
      <c r="I367" s="2" t="s">
        <v>1169</v>
      </c>
    </row>
    <row r="368" ht="15.75" customHeight="1">
      <c r="A368" s="1">
        <v>45612.0</v>
      </c>
      <c r="B368" s="3" t="s">
        <v>74</v>
      </c>
      <c r="C368" s="2" t="s">
        <v>386</v>
      </c>
      <c r="D368" s="6">
        <v>627.26</v>
      </c>
      <c r="E368" s="6">
        <v>1.0</v>
      </c>
      <c r="F368" s="7">
        <v>627.26</v>
      </c>
      <c r="G368" s="2" t="s">
        <v>1170</v>
      </c>
      <c r="H368" s="2" t="s">
        <v>1171</v>
      </c>
      <c r="I368" s="2" t="s">
        <v>1172</v>
      </c>
    </row>
    <row r="369" ht="15.75" customHeight="1">
      <c r="A369" s="1">
        <v>45612.0</v>
      </c>
      <c r="B369" s="3" t="s">
        <v>14</v>
      </c>
      <c r="C369" s="2" t="s">
        <v>370</v>
      </c>
      <c r="D369" s="6">
        <v>1375.44</v>
      </c>
      <c r="E369" s="6">
        <v>4.0</v>
      </c>
      <c r="F369" s="7">
        <v>5501.76</v>
      </c>
      <c r="G369" s="2" t="s">
        <v>1173</v>
      </c>
      <c r="H369" s="2" t="s">
        <v>1174</v>
      </c>
      <c r="I369" s="2" t="s">
        <v>1175</v>
      </c>
    </row>
    <row r="370" ht="15.75" customHeight="1">
      <c r="A370" s="1">
        <v>45612.0</v>
      </c>
      <c r="B370" s="2" t="s">
        <v>57</v>
      </c>
      <c r="C370" s="2" t="s">
        <v>386</v>
      </c>
      <c r="D370" s="6">
        <v>1397.49</v>
      </c>
      <c r="E370" s="6">
        <v>3.0</v>
      </c>
      <c r="F370" s="7">
        <v>4192.47</v>
      </c>
      <c r="G370" s="2" t="s">
        <v>1176</v>
      </c>
      <c r="H370" s="2" t="s">
        <v>1177</v>
      </c>
      <c r="I370" s="2" t="s">
        <v>1178</v>
      </c>
    </row>
    <row r="371" ht="15.75" customHeight="1">
      <c r="A371" s="1">
        <v>45612.0</v>
      </c>
      <c r="B371" s="3" t="s">
        <v>9</v>
      </c>
      <c r="C371" s="2" t="s">
        <v>66</v>
      </c>
      <c r="D371" s="6">
        <v>1203.93</v>
      </c>
      <c r="E371" s="6">
        <v>4.0</v>
      </c>
      <c r="F371" s="7">
        <v>4815.72</v>
      </c>
      <c r="G371" s="2" t="s">
        <v>1179</v>
      </c>
      <c r="H371" s="2" t="s">
        <v>1180</v>
      </c>
      <c r="I371" s="2" t="s">
        <v>1181</v>
      </c>
    </row>
    <row r="372" ht="15.75" customHeight="1">
      <c r="A372" s="1">
        <v>45612.0</v>
      </c>
      <c r="B372" s="2" t="s">
        <v>34</v>
      </c>
      <c r="C372" s="2" t="s">
        <v>58</v>
      </c>
      <c r="D372" s="6">
        <v>1441.97</v>
      </c>
      <c r="E372" s="6">
        <v>3.0</v>
      </c>
      <c r="F372" s="7">
        <v>4325.91</v>
      </c>
      <c r="G372" s="2" t="s">
        <v>1182</v>
      </c>
      <c r="H372" s="2" t="s">
        <v>1183</v>
      </c>
      <c r="I372" s="2" t="s">
        <v>1184</v>
      </c>
    </row>
    <row r="373" ht="15.75" customHeight="1">
      <c r="A373" s="1">
        <v>45612.0</v>
      </c>
      <c r="B373" s="3" t="s">
        <v>14</v>
      </c>
      <c r="C373" s="2" t="s">
        <v>62</v>
      </c>
      <c r="D373" s="6">
        <v>992.95</v>
      </c>
      <c r="E373" s="6">
        <v>3.0</v>
      </c>
      <c r="F373" s="7">
        <v>2978.85</v>
      </c>
      <c r="G373" s="2" t="s">
        <v>1185</v>
      </c>
      <c r="H373" s="2" t="s">
        <v>1186</v>
      </c>
      <c r="I373" s="2" t="s">
        <v>1187</v>
      </c>
    </row>
    <row r="374" ht="15.75" customHeight="1">
      <c r="A374" s="1">
        <v>45612.0</v>
      </c>
      <c r="B374" s="2" t="s">
        <v>34</v>
      </c>
      <c r="C374" s="2" t="s">
        <v>662</v>
      </c>
      <c r="D374" s="6">
        <v>456.65</v>
      </c>
      <c r="E374" s="6">
        <v>2.0</v>
      </c>
      <c r="F374" s="7">
        <v>913.3</v>
      </c>
      <c r="G374" s="2" t="s">
        <v>1188</v>
      </c>
      <c r="H374" s="2" t="s">
        <v>1189</v>
      </c>
      <c r="I374" s="2" t="s">
        <v>1190</v>
      </c>
    </row>
    <row r="375" ht="15.75" customHeight="1">
      <c r="A375" s="1">
        <v>45613.0</v>
      </c>
      <c r="B375" s="2" t="s">
        <v>34</v>
      </c>
      <c r="C375" s="2" t="s">
        <v>834</v>
      </c>
      <c r="D375" s="6">
        <v>2405.31</v>
      </c>
      <c r="E375" s="6">
        <v>5.0</v>
      </c>
      <c r="F375" s="4"/>
      <c r="G375" s="2" t="s">
        <v>1191</v>
      </c>
      <c r="H375" s="2" t="s">
        <v>1192</v>
      </c>
      <c r="I375" s="2" t="s">
        <v>1193</v>
      </c>
    </row>
    <row r="376" ht="15.75" customHeight="1">
      <c r="A376" s="1">
        <v>45613.0</v>
      </c>
      <c r="B376" s="3" t="s">
        <v>74</v>
      </c>
      <c r="C376" s="2" t="s">
        <v>15</v>
      </c>
      <c r="D376" s="6">
        <v>793.37</v>
      </c>
      <c r="E376" s="6">
        <v>2.0</v>
      </c>
      <c r="F376" s="7">
        <v>1586.74</v>
      </c>
      <c r="G376" s="2" t="s">
        <v>1194</v>
      </c>
      <c r="H376" s="2" t="s">
        <v>1195</v>
      </c>
      <c r="I376" s="2" t="s">
        <v>1196</v>
      </c>
    </row>
    <row r="377" ht="15.75" customHeight="1">
      <c r="A377" s="1">
        <v>45613.0</v>
      </c>
      <c r="B377" s="3" t="s">
        <v>74</v>
      </c>
      <c r="C377" s="2" t="s">
        <v>75</v>
      </c>
      <c r="D377" s="6">
        <v>2030.7</v>
      </c>
      <c r="E377" s="6">
        <v>2.0</v>
      </c>
      <c r="F377" s="7">
        <v>4061.4</v>
      </c>
      <c r="G377" s="2" t="s">
        <v>1197</v>
      </c>
      <c r="H377" s="2" t="s">
        <v>1198</v>
      </c>
      <c r="I377" s="2" t="s">
        <v>1199</v>
      </c>
    </row>
    <row r="378" ht="15.75" customHeight="1">
      <c r="A378" s="1">
        <v>45613.0</v>
      </c>
      <c r="B378" s="3" t="s">
        <v>74</v>
      </c>
      <c r="C378" s="2" t="s">
        <v>92</v>
      </c>
      <c r="D378" s="6">
        <v>2127.13</v>
      </c>
      <c r="E378" s="6">
        <v>1.0</v>
      </c>
      <c r="F378" s="7">
        <v>2127.13</v>
      </c>
      <c r="G378" s="2" t="s">
        <v>1200</v>
      </c>
      <c r="H378" s="2" t="s">
        <v>1201</v>
      </c>
      <c r="I378" s="2" t="s">
        <v>1202</v>
      </c>
    </row>
    <row r="379" ht="15.75" customHeight="1">
      <c r="A379" s="1">
        <v>45613.0</v>
      </c>
      <c r="B379" s="3" t="s">
        <v>29</v>
      </c>
      <c r="C379" s="2" t="s">
        <v>386</v>
      </c>
      <c r="D379" s="6">
        <v>2255.29</v>
      </c>
      <c r="E379" s="6">
        <v>3.0</v>
      </c>
      <c r="F379" s="7">
        <v>6765.87</v>
      </c>
      <c r="G379" s="2" t="s">
        <v>1203</v>
      </c>
      <c r="H379" s="2" t="s">
        <v>1204</v>
      </c>
      <c r="I379" s="2" t="s">
        <v>1205</v>
      </c>
    </row>
    <row r="380" ht="15.75" customHeight="1">
      <c r="A380" s="1">
        <v>45613.0</v>
      </c>
      <c r="B380" s="3" t="s">
        <v>74</v>
      </c>
      <c r="C380" s="2" t="s">
        <v>66</v>
      </c>
      <c r="D380" s="6">
        <v>808.48</v>
      </c>
      <c r="E380" s="6">
        <v>4.0</v>
      </c>
      <c r="F380" s="7">
        <v>3233.92</v>
      </c>
      <c r="G380" s="2" t="s">
        <v>1206</v>
      </c>
      <c r="H380" s="2" t="s">
        <v>1207</v>
      </c>
      <c r="I380" s="2" t="s">
        <v>1208</v>
      </c>
    </row>
    <row r="381" ht="15.75" customHeight="1">
      <c r="A381" s="1">
        <v>45613.0</v>
      </c>
      <c r="B381" s="3" t="s">
        <v>14</v>
      </c>
      <c r="C381" s="2" t="s">
        <v>10</v>
      </c>
      <c r="D381" s="6">
        <v>2142.82</v>
      </c>
      <c r="E381" s="6">
        <v>2.0</v>
      </c>
      <c r="F381" s="7">
        <v>4285.64</v>
      </c>
      <c r="G381" s="2" t="s">
        <v>1209</v>
      </c>
      <c r="H381" s="2" t="s">
        <v>1210</v>
      </c>
      <c r="I381" s="2" t="s">
        <v>1211</v>
      </c>
    </row>
    <row r="382" ht="15.75" customHeight="1">
      <c r="A382" s="1">
        <v>45613.0</v>
      </c>
      <c r="B382" s="2" t="s">
        <v>57</v>
      </c>
      <c r="C382" s="2" t="s">
        <v>119</v>
      </c>
      <c r="D382" s="6">
        <v>219.68</v>
      </c>
      <c r="E382" s="6">
        <v>4.0</v>
      </c>
      <c r="F382" s="7">
        <v>878.72</v>
      </c>
      <c r="G382" s="2" t="s">
        <v>1212</v>
      </c>
      <c r="H382" s="2" t="s">
        <v>1213</v>
      </c>
      <c r="I382" s="2" t="s">
        <v>1214</v>
      </c>
    </row>
    <row r="383" ht="15.75" customHeight="1">
      <c r="A383" s="1">
        <v>45613.0</v>
      </c>
      <c r="B383" s="3" t="s">
        <v>29</v>
      </c>
      <c r="C383" s="2" t="s">
        <v>341</v>
      </c>
      <c r="D383" s="6">
        <v>2269.51</v>
      </c>
      <c r="E383" s="6">
        <v>3.0</v>
      </c>
      <c r="F383" s="7">
        <v>6808.53</v>
      </c>
      <c r="G383" s="2" t="s">
        <v>1215</v>
      </c>
      <c r="H383" s="2" t="s">
        <v>1216</v>
      </c>
      <c r="I383" s="2" t="s">
        <v>1217</v>
      </c>
    </row>
    <row r="384" ht="15.75" customHeight="1">
      <c r="A384" s="1">
        <v>45613.0</v>
      </c>
      <c r="B384" s="3" t="s">
        <v>74</v>
      </c>
      <c r="C384" s="2" t="s">
        <v>161</v>
      </c>
      <c r="D384" s="6">
        <v>2002.21</v>
      </c>
      <c r="E384" s="6">
        <v>3.0</v>
      </c>
      <c r="F384" s="7">
        <v>6006.63</v>
      </c>
      <c r="G384" s="2" t="s">
        <v>1218</v>
      </c>
      <c r="H384" s="2" t="s">
        <v>1219</v>
      </c>
      <c r="I384" s="2" t="s">
        <v>1220</v>
      </c>
    </row>
    <row r="385" ht="15.75" customHeight="1">
      <c r="A385" s="1">
        <v>45613.0</v>
      </c>
      <c r="B385" s="3" t="s">
        <v>29</v>
      </c>
      <c r="C385" s="2" t="s">
        <v>396</v>
      </c>
      <c r="D385" s="6">
        <v>877.11</v>
      </c>
      <c r="E385" s="6">
        <v>1.0</v>
      </c>
      <c r="F385" s="7">
        <v>877.11</v>
      </c>
      <c r="G385" s="2" t="s">
        <v>1221</v>
      </c>
      <c r="H385" s="2" t="s">
        <v>1222</v>
      </c>
      <c r="I385" s="2" t="s">
        <v>1223</v>
      </c>
    </row>
    <row r="386" ht="15.75" customHeight="1">
      <c r="A386" s="1">
        <v>45613.0</v>
      </c>
      <c r="B386" s="3" t="s">
        <v>29</v>
      </c>
      <c r="C386" s="2" t="s">
        <v>230</v>
      </c>
      <c r="D386" s="6">
        <v>304.68</v>
      </c>
      <c r="E386" s="6">
        <v>5.0</v>
      </c>
      <c r="F386" s="7">
        <v>1523.4</v>
      </c>
      <c r="G386" s="2" t="s">
        <v>1224</v>
      </c>
      <c r="H386" s="2" t="s">
        <v>1225</v>
      </c>
      <c r="I386" s="2" t="s">
        <v>1226</v>
      </c>
    </row>
    <row r="387" ht="15.75" customHeight="1">
      <c r="A387" s="1">
        <v>45614.0</v>
      </c>
      <c r="B387" s="2" t="s">
        <v>57</v>
      </c>
      <c r="C387" s="2" t="s">
        <v>183</v>
      </c>
      <c r="D387" s="6">
        <v>1533.19</v>
      </c>
      <c r="E387" s="6">
        <v>4.0</v>
      </c>
      <c r="F387" s="7">
        <v>6132.76</v>
      </c>
      <c r="G387" s="2" t="s">
        <v>1227</v>
      </c>
      <c r="H387" s="2" t="s">
        <v>1228</v>
      </c>
      <c r="I387" s="2" t="s">
        <v>1229</v>
      </c>
    </row>
    <row r="388" ht="15.75" customHeight="1">
      <c r="A388" s="1">
        <v>45614.0</v>
      </c>
      <c r="B388" s="3" t="s">
        <v>9</v>
      </c>
      <c r="C388" s="2" t="s">
        <v>15</v>
      </c>
      <c r="D388" s="6">
        <v>1141.13</v>
      </c>
      <c r="E388" s="6">
        <v>3.0</v>
      </c>
      <c r="F388" s="7">
        <v>3423.39</v>
      </c>
      <c r="G388" s="2" t="s">
        <v>1230</v>
      </c>
      <c r="H388" s="2" t="s">
        <v>1231</v>
      </c>
      <c r="I388" s="2" t="s">
        <v>1232</v>
      </c>
    </row>
    <row r="389" ht="15.75" customHeight="1">
      <c r="A389" s="1">
        <v>45614.0</v>
      </c>
      <c r="B389" s="3" t="s">
        <v>14</v>
      </c>
      <c r="C389" s="2" t="s">
        <v>341</v>
      </c>
      <c r="D389" s="6">
        <v>890.76</v>
      </c>
      <c r="E389" s="6">
        <v>2.0</v>
      </c>
      <c r="F389" s="7">
        <v>1781.52</v>
      </c>
      <c r="G389" s="2" t="s">
        <v>1233</v>
      </c>
      <c r="H389" s="2" t="s">
        <v>1234</v>
      </c>
      <c r="I389" s="2" t="s">
        <v>1235</v>
      </c>
    </row>
    <row r="390" ht="15.75" customHeight="1">
      <c r="A390" s="1">
        <v>45614.0</v>
      </c>
      <c r="B390" s="3" t="s">
        <v>9</v>
      </c>
      <c r="C390" s="2" t="s">
        <v>662</v>
      </c>
      <c r="D390" s="6">
        <v>1307.54</v>
      </c>
      <c r="E390" s="6">
        <v>1.0</v>
      </c>
      <c r="F390" s="7">
        <v>1307.54</v>
      </c>
      <c r="G390" s="2" t="s">
        <v>1236</v>
      </c>
      <c r="H390" s="2" t="s">
        <v>1237</v>
      </c>
      <c r="I390" s="2" t="s">
        <v>1238</v>
      </c>
    </row>
    <row r="391" ht="15.75" customHeight="1">
      <c r="A391" s="1">
        <v>45614.0</v>
      </c>
      <c r="B391" s="3" t="s">
        <v>14</v>
      </c>
      <c r="C391" s="2" t="s">
        <v>10</v>
      </c>
      <c r="D391" s="6">
        <v>1178.53</v>
      </c>
      <c r="E391" s="6">
        <v>2.0</v>
      </c>
      <c r="F391" s="7">
        <v>2357.06</v>
      </c>
      <c r="G391" s="2" t="s">
        <v>1239</v>
      </c>
      <c r="H391" s="2" t="s">
        <v>1240</v>
      </c>
      <c r="I391" s="2" t="s">
        <v>1241</v>
      </c>
    </row>
    <row r="392" ht="15.75" customHeight="1">
      <c r="A392" s="1">
        <v>45614.0</v>
      </c>
      <c r="B392" s="3" t="s">
        <v>74</v>
      </c>
      <c r="C392" s="2" t="s">
        <v>252</v>
      </c>
      <c r="D392" s="6">
        <v>1217.56</v>
      </c>
      <c r="E392" s="6">
        <v>3.0</v>
      </c>
      <c r="F392" s="7">
        <v>3652.68</v>
      </c>
      <c r="G392" s="2" t="s">
        <v>1242</v>
      </c>
      <c r="H392" s="2" t="s">
        <v>1243</v>
      </c>
      <c r="I392" s="2" t="s">
        <v>1244</v>
      </c>
    </row>
    <row r="393" ht="15.75" customHeight="1">
      <c r="A393" s="1">
        <v>45614.0</v>
      </c>
      <c r="B393" s="3" t="s">
        <v>14</v>
      </c>
      <c r="C393" s="2" t="s">
        <v>75</v>
      </c>
      <c r="D393" s="6">
        <v>2191.24</v>
      </c>
      <c r="E393" s="6">
        <v>5.0</v>
      </c>
      <c r="F393" s="7">
        <v>10956.2</v>
      </c>
      <c r="G393" s="2" t="s">
        <v>1245</v>
      </c>
      <c r="H393" s="2" t="s">
        <v>1246</v>
      </c>
      <c r="I393" s="2" t="s">
        <v>1247</v>
      </c>
    </row>
    <row r="394" ht="15.75" customHeight="1">
      <c r="A394" s="1">
        <v>45614.0</v>
      </c>
      <c r="B394" s="3" t="s">
        <v>14</v>
      </c>
      <c r="C394" s="2" t="s">
        <v>370</v>
      </c>
      <c r="D394" s="6">
        <v>276.58</v>
      </c>
      <c r="E394" s="6">
        <v>1.0</v>
      </c>
      <c r="F394" s="7">
        <v>276.58</v>
      </c>
      <c r="G394" s="2" t="s">
        <v>1248</v>
      </c>
      <c r="H394" s="2" t="s">
        <v>1249</v>
      </c>
      <c r="I394" s="2" t="s">
        <v>1250</v>
      </c>
    </row>
    <row r="395" ht="15.75" customHeight="1">
      <c r="A395" s="1">
        <v>45614.0</v>
      </c>
      <c r="B395" s="3" t="s">
        <v>14</v>
      </c>
      <c r="C395" s="2" t="s">
        <v>58</v>
      </c>
      <c r="D395" s="6">
        <v>2426.87</v>
      </c>
      <c r="E395" s="6">
        <v>5.0</v>
      </c>
      <c r="F395" s="7">
        <v>12134.35</v>
      </c>
      <c r="G395" s="2" t="s">
        <v>1251</v>
      </c>
      <c r="H395" s="2" t="s">
        <v>1252</v>
      </c>
      <c r="I395" s="2" t="s">
        <v>1253</v>
      </c>
    </row>
    <row r="396" ht="15.75" customHeight="1">
      <c r="A396" s="1">
        <v>45615.0</v>
      </c>
      <c r="B396" s="3" t="s">
        <v>9</v>
      </c>
      <c r="C396" s="2" t="s">
        <v>62</v>
      </c>
      <c r="D396" s="6">
        <v>1077.1</v>
      </c>
      <c r="E396" s="6">
        <v>5.0</v>
      </c>
      <c r="F396" s="7">
        <v>5385.5</v>
      </c>
      <c r="G396" s="2" t="s">
        <v>1254</v>
      </c>
      <c r="H396" s="2" t="s">
        <v>1255</v>
      </c>
      <c r="I396" s="2" t="s">
        <v>1256</v>
      </c>
    </row>
    <row r="397" ht="15.75" customHeight="1">
      <c r="A397" s="1">
        <v>45615.0</v>
      </c>
      <c r="B397" s="3" t="s">
        <v>29</v>
      </c>
      <c r="C397" s="2" t="s">
        <v>183</v>
      </c>
      <c r="D397" s="6">
        <v>920.68</v>
      </c>
      <c r="E397" s="6">
        <v>3.0</v>
      </c>
      <c r="F397" s="7">
        <v>2762.04</v>
      </c>
      <c r="G397" s="2" t="s">
        <v>1257</v>
      </c>
      <c r="H397" s="2" t="s">
        <v>1258</v>
      </c>
      <c r="I397" s="2" t="s">
        <v>1259</v>
      </c>
    </row>
    <row r="398" ht="15.75" customHeight="1">
      <c r="A398" s="1">
        <v>45615.0</v>
      </c>
      <c r="B398" s="2" t="s">
        <v>34</v>
      </c>
      <c r="C398" s="2" t="s">
        <v>215</v>
      </c>
      <c r="D398" s="6">
        <v>1620.89</v>
      </c>
      <c r="E398" s="6">
        <v>3.0</v>
      </c>
      <c r="F398" s="7">
        <v>4862.67</v>
      </c>
      <c r="G398" s="2" t="s">
        <v>1260</v>
      </c>
      <c r="H398" s="2" t="s">
        <v>1261</v>
      </c>
      <c r="I398" s="2" t="s">
        <v>1262</v>
      </c>
    </row>
    <row r="399" ht="15.75" customHeight="1">
      <c r="A399" s="1">
        <v>45615.0</v>
      </c>
      <c r="B399" s="3" t="s">
        <v>29</v>
      </c>
      <c r="C399" s="2" t="s">
        <v>215</v>
      </c>
      <c r="D399" s="6">
        <v>653.09</v>
      </c>
      <c r="E399" s="6">
        <v>4.0</v>
      </c>
      <c r="F399" s="7">
        <v>2612.36</v>
      </c>
      <c r="G399" s="2" t="s">
        <v>1263</v>
      </c>
      <c r="H399" s="2" t="s">
        <v>1264</v>
      </c>
      <c r="I399" s="2" t="s">
        <v>1265</v>
      </c>
    </row>
    <row r="400" ht="15.75" customHeight="1">
      <c r="A400" s="1">
        <v>45615.0</v>
      </c>
      <c r="B400" s="3" t="s">
        <v>29</v>
      </c>
      <c r="C400" s="2" t="s">
        <v>226</v>
      </c>
      <c r="D400" s="6">
        <v>1057.56</v>
      </c>
      <c r="E400" s="6">
        <v>5.0</v>
      </c>
      <c r="F400" s="7">
        <v>5287.8</v>
      </c>
      <c r="G400" s="2" t="s">
        <v>1266</v>
      </c>
      <c r="H400" s="2" t="s">
        <v>1267</v>
      </c>
      <c r="I400" s="2" t="s">
        <v>1268</v>
      </c>
    </row>
    <row r="401" ht="15.75" customHeight="1">
      <c r="A401" s="1">
        <v>45615.0</v>
      </c>
      <c r="B401" s="2" t="s">
        <v>34</v>
      </c>
      <c r="C401" s="2" t="s">
        <v>62</v>
      </c>
      <c r="D401" s="6">
        <v>1292.9</v>
      </c>
      <c r="E401" s="6">
        <v>2.0</v>
      </c>
      <c r="F401" s="7">
        <v>2585.8</v>
      </c>
      <c r="G401" s="2" t="s">
        <v>1269</v>
      </c>
      <c r="H401" s="2" t="s">
        <v>1270</v>
      </c>
      <c r="I401" s="2" t="s">
        <v>1271</v>
      </c>
    </row>
    <row r="402" ht="15.75" customHeight="1">
      <c r="A402" s="1">
        <v>45615.0</v>
      </c>
      <c r="B402" s="3" t="s">
        <v>14</v>
      </c>
      <c r="C402" s="2" t="s">
        <v>30</v>
      </c>
      <c r="D402" s="6">
        <v>173.04</v>
      </c>
      <c r="E402" s="6">
        <v>2.0</v>
      </c>
      <c r="F402" s="7">
        <v>346.08</v>
      </c>
      <c r="G402" s="2" t="s">
        <v>1272</v>
      </c>
      <c r="H402" s="2" t="s">
        <v>1273</v>
      </c>
      <c r="I402" s="2" t="s">
        <v>1274</v>
      </c>
    </row>
    <row r="403" ht="15.75" customHeight="1">
      <c r="A403" s="1">
        <v>45615.0</v>
      </c>
      <c r="B403" s="2" t="s">
        <v>34</v>
      </c>
      <c r="C403" s="2" t="s">
        <v>83</v>
      </c>
      <c r="D403" s="6">
        <v>221.44</v>
      </c>
      <c r="E403" s="6">
        <v>3.0</v>
      </c>
      <c r="F403" s="7">
        <v>664.32</v>
      </c>
      <c r="G403" s="2" t="s">
        <v>1275</v>
      </c>
      <c r="H403" s="2" t="s">
        <v>1276</v>
      </c>
      <c r="I403" s="2" t="s">
        <v>1277</v>
      </c>
    </row>
    <row r="404" ht="15.75" customHeight="1">
      <c r="A404" s="1">
        <v>45615.0</v>
      </c>
      <c r="B404" s="3" t="s">
        <v>29</v>
      </c>
      <c r="C404" s="2" t="s">
        <v>151</v>
      </c>
      <c r="D404" s="6">
        <v>2185.04</v>
      </c>
      <c r="E404" s="6">
        <v>4.0</v>
      </c>
      <c r="F404" s="7">
        <v>8740.16</v>
      </c>
      <c r="G404" s="2" t="s">
        <v>1278</v>
      </c>
      <c r="H404" s="2" t="s">
        <v>1279</v>
      </c>
      <c r="I404" s="2" t="s">
        <v>1280</v>
      </c>
    </row>
    <row r="405" ht="15.75" customHeight="1">
      <c r="A405" s="1">
        <v>45615.0</v>
      </c>
      <c r="B405" s="2" t="s">
        <v>57</v>
      </c>
      <c r="C405" s="2" t="s">
        <v>386</v>
      </c>
      <c r="D405" s="6">
        <v>2214.19</v>
      </c>
      <c r="E405" s="6">
        <v>2.0</v>
      </c>
      <c r="F405" s="7">
        <v>4428.38</v>
      </c>
      <c r="G405" s="2" t="s">
        <v>1281</v>
      </c>
      <c r="H405" s="2" t="s">
        <v>1282</v>
      </c>
      <c r="I405" s="2" t="s">
        <v>1283</v>
      </c>
    </row>
    <row r="406" ht="15.75" customHeight="1">
      <c r="A406" s="5">
        <v>45615.0</v>
      </c>
      <c r="B406" s="3" t="s">
        <v>74</v>
      </c>
      <c r="C406" s="2" t="s">
        <v>662</v>
      </c>
      <c r="D406" s="6">
        <v>215.41</v>
      </c>
      <c r="E406" s="6">
        <v>1.0</v>
      </c>
      <c r="F406" s="7">
        <v>215.41</v>
      </c>
      <c r="G406" s="2" t="s">
        <v>1284</v>
      </c>
      <c r="H406" s="2" t="s">
        <v>1285</v>
      </c>
      <c r="I406" s="2" t="s">
        <v>1286</v>
      </c>
    </row>
    <row r="407" ht="15.75" customHeight="1">
      <c r="A407" s="1">
        <v>45615.0</v>
      </c>
      <c r="B407" s="3" t="s">
        <v>14</v>
      </c>
      <c r="C407" s="2" t="s">
        <v>39</v>
      </c>
      <c r="D407" s="6">
        <v>1097.51</v>
      </c>
      <c r="E407" s="6">
        <v>1.0</v>
      </c>
      <c r="F407" s="7">
        <v>1097.51</v>
      </c>
      <c r="G407" s="2" t="s">
        <v>1287</v>
      </c>
      <c r="H407" s="2" t="s">
        <v>1288</v>
      </c>
      <c r="I407" s="2" t="s">
        <v>1289</v>
      </c>
    </row>
    <row r="408" ht="15.75" customHeight="1">
      <c r="A408" s="1">
        <v>45615.0</v>
      </c>
      <c r="B408" s="3" t="s">
        <v>29</v>
      </c>
      <c r="C408" s="2" t="s">
        <v>39</v>
      </c>
      <c r="D408" s="6">
        <v>1868.8</v>
      </c>
      <c r="E408" s="6">
        <v>2.0</v>
      </c>
      <c r="F408" s="7">
        <v>3737.6</v>
      </c>
      <c r="G408" s="2" t="s">
        <v>1290</v>
      </c>
      <c r="H408" s="2" t="s">
        <v>1291</v>
      </c>
      <c r="I408" s="2" t="s">
        <v>1292</v>
      </c>
    </row>
    <row r="409" ht="15.75" customHeight="1">
      <c r="A409" s="1">
        <v>45616.0</v>
      </c>
      <c r="B409" s="2" t="s">
        <v>34</v>
      </c>
      <c r="C409" s="2" t="s">
        <v>62</v>
      </c>
      <c r="D409" s="6">
        <v>2371.6</v>
      </c>
      <c r="E409" s="6">
        <v>2.0</v>
      </c>
      <c r="F409" s="7">
        <v>4743.2</v>
      </c>
      <c r="G409" s="2" t="s">
        <v>1293</v>
      </c>
      <c r="H409" s="2" t="s">
        <v>1294</v>
      </c>
      <c r="I409" s="2" t="s">
        <v>1295</v>
      </c>
    </row>
    <row r="410" ht="15.75" customHeight="1">
      <c r="A410" s="1">
        <v>45616.0</v>
      </c>
      <c r="B410" s="2" t="s">
        <v>57</v>
      </c>
      <c r="C410" s="2" t="s">
        <v>92</v>
      </c>
      <c r="D410" s="6">
        <v>1752.92</v>
      </c>
      <c r="E410" s="6">
        <v>1.0</v>
      </c>
      <c r="F410" s="7">
        <v>1752.92</v>
      </c>
      <c r="G410" s="2" t="s">
        <v>1296</v>
      </c>
      <c r="H410" s="2" t="s">
        <v>1297</v>
      </c>
      <c r="I410" s="2" t="s">
        <v>1298</v>
      </c>
    </row>
    <row r="411" ht="15.75" customHeight="1">
      <c r="A411" s="1">
        <v>45616.0</v>
      </c>
      <c r="B411" s="2" t="s">
        <v>57</v>
      </c>
      <c r="C411" s="2" t="s">
        <v>341</v>
      </c>
      <c r="D411" s="6">
        <v>210.76</v>
      </c>
      <c r="E411" s="6">
        <v>5.0</v>
      </c>
      <c r="F411" s="7">
        <v>1053.8</v>
      </c>
      <c r="G411" s="2" t="s">
        <v>1299</v>
      </c>
      <c r="H411" s="2" t="s">
        <v>1300</v>
      </c>
      <c r="I411" s="2" t="s">
        <v>1301</v>
      </c>
    </row>
    <row r="412" ht="15.75" customHeight="1">
      <c r="A412" s="1">
        <v>45616.0</v>
      </c>
      <c r="B412" s="2" t="s">
        <v>34</v>
      </c>
      <c r="C412" s="2" t="s">
        <v>49</v>
      </c>
      <c r="D412" s="6">
        <v>1145.32</v>
      </c>
      <c r="E412" s="6">
        <v>1.0</v>
      </c>
      <c r="F412" s="7">
        <v>1145.32</v>
      </c>
      <c r="G412" s="2" t="s">
        <v>1302</v>
      </c>
      <c r="H412" s="2" t="s">
        <v>1303</v>
      </c>
      <c r="I412" s="2" t="s">
        <v>1304</v>
      </c>
    </row>
    <row r="413" ht="15.75" customHeight="1">
      <c r="A413" s="1">
        <v>45616.0</v>
      </c>
      <c r="B413" s="3" t="s">
        <v>9</v>
      </c>
      <c r="C413" s="2" t="s">
        <v>35</v>
      </c>
      <c r="D413" s="6">
        <v>1017.27</v>
      </c>
      <c r="E413" s="6">
        <v>1.0</v>
      </c>
      <c r="F413" s="7">
        <v>1017.27</v>
      </c>
      <c r="G413" s="2" t="s">
        <v>1305</v>
      </c>
      <c r="H413" s="2" t="s">
        <v>1306</v>
      </c>
      <c r="I413" s="2" t="s">
        <v>1307</v>
      </c>
    </row>
    <row r="414" ht="15.75" customHeight="1">
      <c r="A414" s="1">
        <v>45616.0</v>
      </c>
      <c r="B414" s="3" t="s">
        <v>74</v>
      </c>
      <c r="C414" s="2" t="s">
        <v>66</v>
      </c>
      <c r="D414" s="6">
        <v>2246.65</v>
      </c>
      <c r="E414" s="6">
        <v>2.0</v>
      </c>
      <c r="F414" s="7">
        <v>4493.3</v>
      </c>
      <c r="G414" s="2" t="s">
        <v>1308</v>
      </c>
      <c r="H414" s="2" t="s">
        <v>1309</v>
      </c>
      <c r="I414" s="2" t="s">
        <v>1310</v>
      </c>
    </row>
    <row r="415" ht="15.75" customHeight="1">
      <c r="A415" s="1">
        <v>45616.0</v>
      </c>
      <c r="B415" s="2" t="s">
        <v>34</v>
      </c>
      <c r="C415" s="2" t="s">
        <v>66</v>
      </c>
      <c r="D415" s="6">
        <v>269.57</v>
      </c>
      <c r="E415" s="6">
        <v>5.0</v>
      </c>
      <c r="F415" s="7">
        <v>1347.85</v>
      </c>
      <c r="G415" s="2" t="s">
        <v>1311</v>
      </c>
      <c r="H415" s="2" t="s">
        <v>1312</v>
      </c>
      <c r="I415" s="2" t="s">
        <v>1313</v>
      </c>
    </row>
    <row r="416" ht="15.75" customHeight="1">
      <c r="A416" s="1">
        <v>45616.0</v>
      </c>
      <c r="B416" s="2" t="s">
        <v>57</v>
      </c>
      <c r="C416" s="2" t="s">
        <v>187</v>
      </c>
      <c r="D416" s="6">
        <v>2189.91</v>
      </c>
      <c r="E416" s="6">
        <v>3.0</v>
      </c>
      <c r="F416" s="7">
        <v>6569.73</v>
      </c>
      <c r="G416" s="2" t="s">
        <v>1314</v>
      </c>
      <c r="H416" s="2" t="s">
        <v>1315</v>
      </c>
      <c r="I416" s="2" t="s">
        <v>1316</v>
      </c>
    </row>
    <row r="417" ht="15.75" customHeight="1">
      <c r="A417" s="1">
        <v>45616.0</v>
      </c>
      <c r="B417" s="2" t="s">
        <v>57</v>
      </c>
      <c r="C417" s="2" t="s">
        <v>130</v>
      </c>
      <c r="D417" s="6">
        <v>1130.03</v>
      </c>
      <c r="E417" s="6">
        <v>5.0</v>
      </c>
      <c r="F417" s="7">
        <v>5650.15</v>
      </c>
      <c r="G417" s="2" t="s">
        <v>1317</v>
      </c>
      <c r="H417" s="2" t="s">
        <v>1318</v>
      </c>
      <c r="I417" s="2" t="s">
        <v>1319</v>
      </c>
    </row>
    <row r="418" ht="15.75" customHeight="1">
      <c r="A418" s="1">
        <v>45616.0</v>
      </c>
      <c r="B418" s="3" t="s">
        <v>29</v>
      </c>
      <c r="C418" s="2" t="s">
        <v>662</v>
      </c>
      <c r="D418" s="6">
        <v>1485.74</v>
      </c>
      <c r="E418" s="6">
        <v>3.0</v>
      </c>
      <c r="F418" s="7">
        <v>4457.22</v>
      </c>
      <c r="G418" s="2" t="s">
        <v>1320</v>
      </c>
      <c r="H418" s="2" t="s">
        <v>1321</v>
      </c>
      <c r="I418" s="2" t="s">
        <v>1322</v>
      </c>
    </row>
    <row r="419" ht="15.75" customHeight="1">
      <c r="A419" s="1">
        <v>45616.0</v>
      </c>
      <c r="B419" s="2" t="s">
        <v>34</v>
      </c>
      <c r="C419" s="2" t="s">
        <v>169</v>
      </c>
      <c r="D419" s="6">
        <v>1570.12</v>
      </c>
      <c r="E419" s="6">
        <v>3.0</v>
      </c>
      <c r="F419" s="7">
        <v>4710.36</v>
      </c>
      <c r="G419" s="2" t="s">
        <v>1323</v>
      </c>
      <c r="H419" s="2" t="s">
        <v>1324</v>
      </c>
      <c r="I419" s="2" t="s">
        <v>1325</v>
      </c>
    </row>
    <row r="420" ht="15.75" customHeight="1">
      <c r="A420" s="1">
        <v>45616.0</v>
      </c>
      <c r="B420" s="3" t="s">
        <v>9</v>
      </c>
      <c r="C420" s="2" t="s">
        <v>222</v>
      </c>
      <c r="D420" s="6">
        <v>2469.75</v>
      </c>
      <c r="E420" s="6">
        <v>3.0</v>
      </c>
      <c r="F420" s="7">
        <v>7409.25</v>
      </c>
      <c r="G420" s="2" t="s">
        <v>1326</v>
      </c>
      <c r="H420" s="2" t="s">
        <v>1327</v>
      </c>
      <c r="I420" s="2" t="s">
        <v>1328</v>
      </c>
    </row>
    <row r="421" ht="15.75" customHeight="1">
      <c r="A421" s="1">
        <v>45617.0</v>
      </c>
      <c r="B421" s="3" t="s">
        <v>9</v>
      </c>
      <c r="C421" s="2" t="s">
        <v>88</v>
      </c>
      <c r="D421" s="6">
        <v>1738.96</v>
      </c>
      <c r="E421" s="6">
        <v>4.0</v>
      </c>
      <c r="F421" s="7">
        <v>6955.84</v>
      </c>
      <c r="G421" s="2" t="s">
        <v>1329</v>
      </c>
      <c r="H421" s="2" t="s">
        <v>1330</v>
      </c>
      <c r="I421" s="2" t="s">
        <v>1331</v>
      </c>
    </row>
    <row r="422" ht="15.75" customHeight="1">
      <c r="A422" s="1">
        <v>45617.0</v>
      </c>
      <c r="B422" s="3" t="s">
        <v>14</v>
      </c>
      <c r="C422" s="2" t="s">
        <v>179</v>
      </c>
      <c r="D422" s="6">
        <v>1987.27</v>
      </c>
      <c r="E422" s="6">
        <v>3.0</v>
      </c>
      <c r="F422" s="7">
        <v>5961.81</v>
      </c>
      <c r="G422" s="2" t="s">
        <v>1332</v>
      </c>
      <c r="H422" s="2" t="s">
        <v>1333</v>
      </c>
      <c r="I422" s="2" t="s">
        <v>1334</v>
      </c>
    </row>
    <row r="423" ht="15.75" customHeight="1">
      <c r="A423" s="1">
        <v>45617.0</v>
      </c>
      <c r="B423" s="3" t="s">
        <v>9</v>
      </c>
      <c r="C423" s="2" t="s">
        <v>58</v>
      </c>
      <c r="D423" s="6">
        <v>1640.14</v>
      </c>
      <c r="E423" s="6">
        <v>5.0</v>
      </c>
      <c r="F423" s="7">
        <v>8200.7</v>
      </c>
      <c r="G423" s="2" t="s">
        <v>1335</v>
      </c>
      <c r="H423" s="2" t="s">
        <v>1336</v>
      </c>
      <c r="I423" s="2" t="s">
        <v>1337</v>
      </c>
    </row>
    <row r="424" ht="15.75" customHeight="1">
      <c r="A424" s="1">
        <v>45617.0</v>
      </c>
      <c r="B424" s="2" t="s">
        <v>57</v>
      </c>
      <c r="C424" s="2" t="s">
        <v>427</v>
      </c>
      <c r="D424" s="6">
        <v>2420.41</v>
      </c>
      <c r="E424" s="6">
        <v>2.0</v>
      </c>
      <c r="F424" s="7">
        <v>4840.82</v>
      </c>
      <c r="G424" s="2" t="s">
        <v>1338</v>
      </c>
      <c r="H424" s="2" t="s">
        <v>1339</v>
      </c>
      <c r="I424" s="2" t="s">
        <v>1340</v>
      </c>
    </row>
    <row r="425" ht="15.75" customHeight="1">
      <c r="A425" s="1">
        <v>45617.0</v>
      </c>
      <c r="B425" s="2" t="s">
        <v>57</v>
      </c>
      <c r="C425" s="2" t="s">
        <v>222</v>
      </c>
      <c r="D425" s="6">
        <v>495.51</v>
      </c>
      <c r="E425" s="6">
        <v>2.0</v>
      </c>
      <c r="F425" s="7">
        <v>991.02</v>
      </c>
      <c r="G425" s="2" t="s">
        <v>1341</v>
      </c>
      <c r="H425" s="2" t="s">
        <v>1342</v>
      </c>
      <c r="I425" s="2" t="s">
        <v>1343</v>
      </c>
    </row>
    <row r="426" ht="15.75" customHeight="1">
      <c r="A426" s="1">
        <v>45617.0</v>
      </c>
      <c r="B426" s="3" t="s">
        <v>9</v>
      </c>
      <c r="C426" s="2" t="s">
        <v>341</v>
      </c>
      <c r="D426" s="6">
        <v>299.66</v>
      </c>
      <c r="E426" s="6">
        <v>3.0</v>
      </c>
      <c r="F426" s="7">
        <v>898.98</v>
      </c>
      <c r="G426" s="2" t="s">
        <v>1344</v>
      </c>
      <c r="H426" s="2" t="s">
        <v>1345</v>
      </c>
      <c r="I426" s="2" t="s">
        <v>1346</v>
      </c>
    </row>
    <row r="427" ht="15.75" customHeight="1">
      <c r="A427" s="1">
        <v>45617.0</v>
      </c>
      <c r="B427" s="3" t="s">
        <v>74</v>
      </c>
      <c r="C427" s="2" t="s">
        <v>226</v>
      </c>
      <c r="D427" s="6">
        <v>510.78</v>
      </c>
      <c r="E427" s="6">
        <v>3.0</v>
      </c>
      <c r="F427" s="7">
        <v>1532.34</v>
      </c>
      <c r="G427" s="2" t="s">
        <v>1347</v>
      </c>
      <c r="H427" s="2" t="s">
        <v>1348</v>
      </c>
      <c r="I427" s="2" t="s">
        <v>1349</v>
      </c>
    </row>
    <row r="428" ht="15.75" customHeight="1">
      <c r="A428" s="1">
        <v>45617.0</v>
      </c>
      <c r="B428" s="2" t="s">
        <v>114</v>
      </c>
      <c r="C428" s="2" t="s">
        <v>165</v>
      </c>
      <c r="D428" s="6">
        <v>2399.53</v>
      </c>
      <c r="E428" s="6">
        <v>3.0</v>
      </c>
      <c r="F428" s="4"/>
      <c r="G428" s="2" t="s">
        <v>1350</v>
      </c>
      <c r="H428" s="2" t="s">
        <v>1351</v>
      </c>
      <c r="I428" s="2" t="s">
        <v>1352</v>
      </c>
    </row>
    <row r="429" ht="15.75" customHeight="1">
      <c r="A429" s="1">
        <v>45617.0</v>
      </c>
      <c r="B429" s="3" t="s">
        <v>74</v>
      </c>
      <c r="C429" s="2" t="s">
        <v>22</v>
      </c>
      <c r="D429" s="2"/>
      <c r="E429" s="6">
        <v>4.0</v>
      </c>
      <c r="F429" s="7">
        <v>9635.4</v>
      </c>
      <c r="G429" s="2" t="s">
        <v>1353</v>
      </c>
      <c r="H429" s="2" t="s">
        <v>1354</v>
      </c>
      <c r="I429" s="2" t="s">
        <v>1355</v>
      </c>
    </row>
    <row r="430" ht="15.75" customHeight="1">
      <c r="A430" s="1">
        <v>45617.0</v>
      </c>
      <c r="B430" s="3" t="s">
        <v>9</v>
      </c>
      <c r="C430" s="2" t="s">
        <v>53</v>
      </c>
      <c r="D430" s="6">
        <v>1944.02</v>
      </c>
      <c r="E430" s="6">
        <v>1.0</v>
      </c>
      <c r="F430" s="7">
        <v>1944.02</v>
      </c>
      <c r="G430" s="2" t="s">
        <v>1356</v>
      </c>
      <c r="H430" s="2" t="s">
        <v>1357</v>
      </c>
      <c r="I430" s="2" t="s">
        <v>1358</v>
      </c>
    </row>
    <row r="431" ht="15.75" customHeight="1">
      <c r="A431" s="1">
        <v>45617.0</v>
      </c>
      <c r="B431" s="3" t="s">
        <v>14</v>
      </c>
      <c r="C431" s="2" t="s">
        <v>386</v>
      </c>
      <c r="D431" s="6">
        <v>1160.21</v>
      </c>
      <c r="E431" s="6">
        <v>2.0</v>
      </c>
      <c r="F431" s="7">
        <v>2320.42</v>
      </c>
      <c r="G431" s="2" t="s">
        <v>1359</v>
      </c>
      <c r="H431" s="2" t="s">
        <v>1360</v>
      </c>
      <c r="I431" s="2" t="s">
        <v>1361</v>
      </c>
    </row>
    <row r="432" ht="15.75" customHeight="1">
      <c r="A432" s="1">
        <v>45617.0</v>
      </c>
      <c r="B432" s="3" t="s">
        <v>29</v>
      </c>
      <c r="C432" s="2" t="s">
        <v>137</v>
      </c>
      <c r="D432" s="6">
        <v>536.87</v>
      </c>
      <c r="E432" s="6">
        <v>1.0</v>
      </c>
      <c r="F432" s="7">
        <v>536.87</v>
      </c>
      <c r="G432" s="2" t="s">
        <v>1362</v>
      </c>
      <c r="H432" s="2" t="s">
        <v>1363</v>
      </c>
      <c r="I432" s="2" t="s">
        <v>1364</v>
      </c>
    </row>
    <row r="433" ht="15.75" customHeight="1">
      <c r="A433" s="1">
        <v>45618.0</v>
      </c>
      <c r="B433" s="3" t="s">
        <v>29</v>
      </c>
      <c r="C433" s="2" t="s">
        <v>49</v>
      </c>
      <c r="D433" s="6">
        <v>416.62</v>
      </c>
      <c r="E433" s="6">
        <v>5.0</v>
      </c>
      <c r="F433" s="7">
        <v>2083.1</v>
      </c>
      <c r="G433" s="2" t="s">
        <v>1365</v>
      </c>
      <c r="H433" s="2" t="s">
        <v>1366</v>
      </c>
      <c r="I433" s="2" t="s">
        <v>1367</v>
      </c>
    </row>
    <row r="434" ht="15.75" customHeight="1">
      <c r="A434" s="1">
        <v>45618.0</v>
      </c>
      <c r="B434" s="2" t="s">
        <v>34</v>
      </c>
      <c r="C434" s="2" t="s">
        <v>427</v>
      </c>
      <c r="D434" s="6">
        <v>1175.45</v>
      </c>
      <c r="E434" s="6">
        <v>5.0</v>
      </c>
      <c r="F434" s="7">
        <v>5877.25</v>
      </c>
      <c r="G434" s="2" t="s">
        <v>1368</v>
      </c>
      <c r="H434" s="2" t="s">
        <v>1369</v>
      </c>
      <c r="I434" s="2" t="s">
        <v>1370</v>
      </c>
    </row>
    <row r="435" ht="15.75" customHeight="1">
      <c r="A435" s="1">
        <v>45618.0</v>
      </c>
      <c r="B435" s="3" t="s">
        <v>9</v>
      </c>
      <c r="C435" s="2" t="s">
        <v>427</v>
      </c>
      <c r="D435" s="6">
        <v>1273.61</v>
      </c>
      <c r="E435" s="6">
        <v>4.0</v>
      </c>
      <c r="F435" s="7">
        <v>5094.44</v>
      </c>
      <c r="G435" s="2" t="s">
        <v>1371</v>
      </c>
      <c r="H435" s="2" t="s">
        <v>1372</v>
      </c>
      <c r="I435" s="2" t="s">
        <v>1373</v>
      </c>
    </row>
    <row r="436" ht="15.75" customHeight="1">
      <c r="A436" s="1">
        <v>45618.0</v>
      </c>
      <c r="B436" s="3" t="s">
        <v>74</v>
      </c>
      <c r="C436" s="2" t="s">
        <v>49</v>
      </c>
      <c r="D436" s="6">
        <v>1402.66</v>
      </c>
      <c r="E436" s="6">
        <v>5.0</v>
      </c>
      <c r="F436" s="7">
        <v>7013.3</v>
      </c>
      <c r="G436" s="2" t="s">
        <v>1374</v>
      </c>
      <c r="H436" s="2" t="s">
        <v>1375</v>
      </c>
      <c r="I436" s="2" t="s">
        <v>1376</v>
      </c>
    </row>
    <row r="437" ht="15.75" customHeight="1">
      <c r="A437" s="1">
        <v>45618.0</v>
      </c>
      <c r="B437" s="3" t="s">
        <v>29</v>
      </c>
      <c r="C437" s="2" t="s">
        <v>10</v>
      </c>
      <c r="D437" s="6">
        <v>197.09</v>
      </c>
      <c r="E437" s="6">
        <v>3.0</v>
      </c>
      <c r="F437" s="7">
        <v>591.27</v>
      </c>
      <c r="G437" s="2" t="s">
        <v>1377</v>
      </c>
      <c r="H437" s="2" t="s">
        <v>1378</v>
      </c>
      <c r="I437" s="2" t="s">
        <v>1379</v>
      </c>
    </row>
    <row r="438" ht="15.75" customHeight="1">
      <c r="A438" s="1">
        <v>45618.0</v>
      </c>
      <c r="B438" s="2" t="s">
        <v>34</v>
      </c>
      <c r="C438" s="2" t="s">
        <v>427</v>
      </c>
      <c r="D438" s="6">
        <v>2135.79</v>
      </c>
      <c r="E438" s="6">
        <v>1.0</v>
      </c>
      <c r="F438" s="7">
        <v>2135.79</v>
      </c>
      <c r="G438" s="2" t="s">
        <v>1380</v>
      </c>
      <c r="H438" s="2" t="s">
        <v>1381</v>
      </c>
      <c r="I438" s="2" t="s">
        <v>1382</v>
      </c>
    </row>
    <row r="439" ht="15.75" customHeight="1">
      <c r="A439" s="1">
        <v>45618.0</v>
      </c>
      <c r="B439" s="3" t="s">
        <v>29</v>
      </c>
      <c r="C439" s="2" t="s">
        <v>370</v>
      </c>
      <c r="D439" s="6">
        <v>752.56</v>
      </c>
      <c r="E439" s="6">
        <v>2.0</v>
      </c>
      <c r="F439" s="7">
        <v>1505.12</v>
      </c>
      <c r="G439" s="2" t="s">
        <v>1383</v>
      </c>
      <c r="H439" s="2" t="s">
        <v>1384</v>
      </c>
      <c r="I439" s="2" t="s">
        <v>1385</v>
      </c>
    </row>
    <row r="440" ht="15.75" customHeight="1">
      <c r="A440" s="1">
        <v>45618.0</v>
      </c>
      <c r="B440" s="3" t="s">
        <v>14</v>
      </c>
      <c r="C440" s="2" t="s">
        <v>115</v>
      </c>
      <c r="D440" s="6">
        <v>2198.02</v>
      </c>
      <c r="E440" s="6">
        <v>1.0</v>
      </c>
      <c r="F440" s="7">
        <v>2198.02</v>
      </c>
      <c r="G440" s="2" t="s">
        <v>1386</v>
      </c>
      <c r="H440" s="2" t="s">
        <v>1387</v>
      </c>
      <c r="I440" s="2" t="s">
        <v>1388</v>
      </c>
    </row>
    <row r="441" ht="15.75" customHeight="1">
      <c r="A441" s="1">
        <v>45618.0</v>
      </c>
      <c r="B441" s="3" t="s">
        <v>14</v>
      </c>
      <c r="C441" s="2" t="s">
        <v>151</v>
      </c>
      <c r="D441" s="6">
        <v>342.64</v>
      </c>
      <c r="E441" s="6">
        <v>2.0</v>
      </c>
      <c r="F441" s="7">
        <v>685.28</v>
      </c>
      <c r="G441" s="2" t="s">
        <v>1389</v>
      </c>
      <c r="H441" s="2" t="s">
        <v>1390</v>
      </c>
      <c r="I441" s="2" t="s">
        <v>1391</v>
      </c>
    </row>
    <row r="442" ht="15.75" customHeight="1">
      <c r="A442" s="1">
        <v>45618.0</v>
      </c>
      <c r="B442" s="3" t="s">
        <v>9</v>
      </c>
      <c r="C442" s="2" t="s">
        <v>312</v>
      </c>
      <c r="D442" s="6">
        <v>1249.46</v>
      </c>
      <c r="E442" s="6">
        <v>1.0</v>
      </c>
      <c r="F442" s="7">
        <v>1249.46</v>
      </c>
      <c r="G442" s="2" t="s">
        <v>1392</v>
      </c>
      <c r="H442" s="2" t="s">
        <v>1393</v>
      </c>
      <c r="I442" s="8" t="s">
        <v>1394</v>
      </c>
    </row>
    <row r="443" ht="15.75" customHeight="1">
      <c r="A443" s="1">
        <v>45618.0</v>
      </c>
      <c r="B443" s="2" t="s">
        <v>34</v>
      </c>
      <c r="C443" s="2" t="s">
        <v>15</v>
      </c>
      <c r="D443" s="6">
        <v>463.17</v>
      </c>
      <c r="E443" s="6">
        <v>3.0</v>
      </c>
      <c r="F443" s="7">
        <v>1389.51</v>
      </c>
      <c r="G443" s="2" t="s">
        <v>1395</v>
      </c>
      <c r="H443" s="2" t="s">
        <v>1396</v>
      </c>
      <c r="I443" s="2" t="s">
        <v>1397</v>
      </c>
    </row>
    <row r="444" ht="15.75" customHeight="1">
      <c r="A444" s="1">
        <v>45618.0</v>
      </c>
      <c r="B444" s="3" t="s">
        <v>14</v>
      </c>
      <c r="C444" s="2" t="s">
        <v>10</v>
      </c>
      <c r="D444" s="6">
        <v>776.93</v>
      </c>
      <c r="E444" s="6">
        <v>1.0</v>
      </c>
      <c r="F444" s="7">
        <v>776.93</v>
      </c>
      <c r="G444" s="2" t="s">
        <v>1398</v>
      </c>
      <c r="H444" s="2" t="s">
        <v>1399</v>
      </c>
      <c r="I444" s="2" t="s">
        <v>1400</v>
      </c>
    </row>
    <row r="445" ht="15.75" customHeight="1">
      <c r="A445" s="1">
        <v>45619.0</v>
      </c>
      <c r="B445" s="3" t="s">
        <v>74</v>
      </c>
      <c r="C445" s="2" t="s">
        <v>279</v>
      </c>
      <c r="D445" s="6">
        <v>405.62</v>
      </c>
      <c r="E445" s="6">
        <v>4.0</v>
      </c>
      <c r="F445" s="7">
        <v>1622.48</v>
      </c>
      <c r="G445" s="2" t="s">
        <v>1401</v>
      </c>
      <c r="H445" s="2" t="s">
        <v>1402</v>
      </c>
      <c r="I445" s="2" t="s">
        <v>1403</v>
      </c>
    </row>
    <row r="446" ht="15.75" customHeight="1">
      <c r="A446" s="1">
        <v>45619.0</v>
      </c>
      <c r="B446" s="2" t="s">
        <v>57</v>
      </c>
      <c r="C446" s="2" t="s">
        <v>119</v>
      </c>
      <c r="D446" s="2"/>
      <c r="E446" s="6">
        <v>3.0</v>
      </c>
      <c r="F446" s="7">
        <v>4978.62</v>
      </c>
      <c r="G446" s="2" t="s">
        <v>1404</v>
      </c>
      <c r="H446" s="2" t="s">
        <v>1405</v>
      </c>
      <c r="I446" s="8" t="s">
        <v>1406</v>
      </c>
    </row>
    <row r="447" ht="15.75" customHeight="1">
      <c r="A447" s="1">
        <v>45619.0</v>
      </c>
      <c r="B447" s="3" t="s">
        <v>29</v>
      </c>
      <c r="C447" s="2" t="s">
        <v>92</v>
      </c>
      <c r="D447" s="6">
        <v>1848.95</v>
      </c>
      <c r="E447" s="6">
        <v>3.0</v>
      </c>
      <c r="F447" s="7">
        <v>5546.85</v>
      </c>
      <c r="G447" s="2" t="s">
        <v>1407</v>
      </c>
      <c r="H447" s="2" t="s">
        <v>1408</v>
      </c>
      <c r="I447" s="2" t="s">
        <v>1409</v>
      </c>
    </row>
    <row r="448" ht="15.75" customHeight="1">
      <c r="A448" s="1">
        <v>45619.0</v>
      </c>
      <c r="B448" s="2" t="s">
        <v>57</v>
      </c>
      <c r="C448" s="2" t="s">
        <v>130</v>
      </c>
      <c r="D448" s="6">
        <v>793.75</v>
      </c>
      <c r="E448" s="6">
        <v>1.0</v>
      </c>
      <c r="F448" s="7">
        <v>793.75</v>
      </c>
      <c r="G448" s="2" t="s">
        <v>1410</v>
      </c>
      <c r="H448" s="2" t="s">
        <v>1411</v>
      </c>
      <c r="I448" s="2" t="s">
        <v>1412</v>
      </c>
    </row>
    <row r="449" ht="15.75" customHeight="1">
      <c r="A449" s="1">
        <v>45619.0</v>
      </c>
      <c r="B449" s="3" t="s">
        <v>74</v>
      </c>
      <c r="C449" s="2" t="s">
        <v>161</v>
      </c>
      <c r="D449" s="6">
        <v>919.27</v>
      </c>
      <c r="E449" s="6">
        <v>2.0</v>
      </c>
      <c r="F449" s="7">
        <v>1838.54</v>
      </c>
      <c r="G449" s="2" t="s">
        <v>1413</v>
      </c>
      <c r="H449" s="2" t="s">
        <v>1414</v>
      </c>
      <c r="I449" s="2" t="s">
        <v>1415</v>
      </c>
    </row>
    <row r="450" ht="15.75" customHeight="1">
      <c r="A450" s="1">
        <v>45619.0</v>
      </c>
      <c r="B450" s="3" t="s">
        <v>74</v>
      </c>
      <c r="C450" s="2" t="s">
        <v>83</v>
      </c>
      <c r="D450" s="6">
        <v>807.71</v>
      </c>
      <c r="E450" s="6">
        <v>3.0</v>
      </c>
      <c r="F450" s="7">
        <v>2423.13</v>
      </c>
      <c r="G450" s="2" t="s">
        <v>1416</v>
      </c>
      <c r="H450" s="2" t="s">
        <v>1417</v>
      </c>
      <c r="I450" s="2" t="s">
        <v>1418</v>
      </c>
    </row>
    <row r="451" ht="15.75" customHeight="1">
      <c r="A451" s="1">
        <v>45619.0</v>
      </c>
      <c r="B451" s="3" t="s">
        <v>14</v>
      </c>
      <c r="C451" s="2" t="s">
        <v>151</v>
      </c>
      <c r="D451" s="6">
        <v>1768.49</v>
      </c>
      <c r="E451" s="6">
        <v>2.0</v>
      </c>
      <c r="F451" s="7">
        <v>3536.98</v>
      </c>
      <c r="G451" s="2" t="s">
        <v>1419</v>
      </c>
      <c r="H451" s="2" t="s">
        <v>1420</v>
      </c>
      <c r="I451" s="2" t="s">
        <v>1421</v>
      </c>
    </row>
    <row r="452" ht="15.75" customHeight="1">
      <c r="A452" s="1">
        <v>45619.0</v>
      </c>
      <c r="B452" s="2" t="s">
        <v>34</v>
      </c>
      <c r="C452" s="2" t="s">
        <v>137</v>
      </c>
      <c r="D452" s="6">
        <v>2009.76</v>
      </c>
      <c r="E452" s="6">
        <v>1.0</v>
      </c>
      <c r="F452" s="7">
        <v>2009.76</v>
      </c>
      <c r="G452" s="2" t="s">
        <v>1422</v>
      </c>
      <c r="H452" s="2" t="s">
        <v>1423</v>
      </c>
      <c r="I452" s="2" t="s">
        <v>1424</v>
      </c>
    </row>
    <row r="453" ht="15.75" customHeight="1">
      <c r="A453" s="1">
        <v>45619.0</v>
      </c>
      <c r="B453" s="3" t="s">
        <v>74</v>
      </c>
      <c r="C453" s="2" t="s">
        <v>279</v>
      </c>
      <c r="D453" s="6">
        <v>72.37</v>
      </c>
      <c r="E453" s="6">
        <v>4.0</v>
      </c>
      <c r="F453" s="7">
        <v>289.48</v>
      </c>
      <c r="G453" s="2" t="s">
        <v>1425</v>
      </c>
      <c r="H453" s="2" t="s">
        <v>1426</v>
      </c>
      <c r="I453" s="2" t="s">
        <v>1427</v>
      </c>
    </row>
    <row r="454" ht="15.75" customHeight="1">
      <c r="A454" s="1">
        <v>45620.0</v>
      </c>
      <c r="B454" s="3" t="s">
        <v>14</v>
      </c>
      <c r="C454" s="2" t="s">
        <v>386</v>
      </c>
      <c r="D454" s="6">
        <v>443.81</v>
      </c>
      <c r="E454" s="6">
        <v>1.0</v>
      </c>
      <c r="F454" s="7">
        <v>443.81</v>
      </c>
      <c r="G454" s="2" t="s">
        <v>1428</v>
      </c>
      <c r="H454" s="2" t="s">
        <v>1429</v>
      </c>
      <c r="I454" s="8" t="s">
        <v>1430</v>
      </c>
    </row>
    <row r="455" ht="15.75" customHeight="1">
      <c r="A455" s="1">
        <v>45620.0</v>
      </c>
      <c r="B455" s="3" t="s">
        <v>9</v>
      </c>
      <c r="C455" s="2" t="s">
        <v>226</v>
      </c>
      <c r="D455" s="6">
        <v>1628.77</v>
      </c>
      <c r="E455" s="6">
        <v>4.0</v>
      </c>
      <c r="F455" s="7">
        <v>6515.08</v>
      </c>
      <c r="G455" s="2" t="s">
        <v>1431</v>
      </c>
      <c r="H455" s="2" t="s">
        <v>1432</v>
      </c>
      <c r="I455" s="2" t="s">
        <v>1433</v>
      </c>
    </row>
    <row r="456" ht="15.75" customHeight="1">
      <c r="A456" s="1">
        <v>45620.0</v>
      </c>
      <c r="B456" s="3" t="s">
        <v>29</v>
      </c>
      <c r="C456" s="2" t="s">
        <v>165</v>
      </c>
      <c r="D456" s="6">
        <v>1752.21</v>
      </c>
      <c r="E456" s="6">
        <v>4.0</v>
      </c>
      <c r="F456" s="7">
        <v>7008.84</v>
      </c>
      <c r="G456" s="2" t="s">
        <v>1434</v>
      </c>
      <c r="H456" s="2" t="s">
        <v>1435</v>
      </c>
      <c r="I456" s="2" t="s">
        <v>1436</v>
      </c>
    </row>
    <row r="457" ht="15.75" customHeight="1">
      <c r="A457" s="1">
        <v>45620.0</v>
      </c>
      <c r="B457" s="3" t="s">
        <v>74</v>
      </c>
      <c r="C457" s="2" t="s">
        <v>79</v>
      </c>
      <c r="D457" s="6">
        <v>649.99</v>
      </c>
      <c r="E457" s="6">
        <v>2.0</v>
      </c>
      <c r="F457" s="7">
        <v>1299.98</v>
      </c>
      <c r="G457" s="2" t="s">
        <v>1437</v>
      </c>
      <c r="H457" s="2" t="s">
        <v>1438</v>
      </c>
      <c r="I457" s="2" t="s">
        <v>1439</v>
      </c>
    </row>
    <row r="458" ht="15.75" customHeight="1">
      <c r="A458" s="1">
        <v>45620.0</v>
      </c>
      <c r="B458" s="3" t="s">
        <v>29</v>
      </c>
      <c r="C458" s="2" t="s">
        <v>62</v>
      </c>
      <c r="D458" s="6">
        <v>1768.85</v>
      </c>
      <c r="E458" s="6">
        <v>5.0</v>
      </c>
      <c r="F458" s="7">
        <v>8844.25</v>
      </c>
      <c r="G458" s="2" t="s">
        <v>1440</v>
      </c>
      <c r="H458" s="2" t="s">
        <v>1441</v>
      </c>
      <c r="I458" s="2" t="s">
        <v>1442</v>
      </c>
    </row>
    <row r="459" ht="15.75" customHeight="1">
      <c r="A459" s="1">
        <v>45620.0</v>
      </c>
      <c r="B459" s="3" t="s">
        <v>74</v>
      </c>
      <c r="C459" s="2" t="s">
        <v>215</v>
      </c>
      <c r="D459" s="6">
        <v>103.69</v>
      </c>
      <c r="E459" s="6">
        <v>5.0</v>
      </c>
      <c r="F459" s="7">
        <v>518.45</v>
      </c>
      <c r="G459" s="2" t="s">
        <v>1443</v>
      </c>
      <c r="H459" s="2" t="s">
        <v>1444</v>
      </c>
      <c r="I459" s="2" t="s">
        <v>1445</v>
      </c>
    </row>
    <row r="460" ht="15.75" customHeight="1">
      <c r="A460" s="1">
        <v>45620.0</v>
      </c>
      <c r="B460" s="3" t="s">
        <v>14</v>
      </c>
      <c r="C460" s="2" t="s">
        <v>179</v>
      </c>
      <c r="D460" s="6">
        <v>2028.12</v>
      </c>
      <c r="E460" s="6">
        <v>5.0</v>
      </c>
      <c r="F460" s="7">
        <v>10140.6</v>
      </c>
      <c r="G460" s="2" t="s">
        <v>1446</v>
      </c>
      <c r="H460" s="2" t="s">
        <v>1447</v>
      </c>
      <c r="I460" s="2" t="s">
        <v>1448</v>
      </c>
    </row>
    <row r="461" ht="15.75" customHeight="1">
      <c r="A461" s="1">
        <v>45620.0</v>
      </c>
      <c r="B461" s="3" t="s">
        <v>14</v>
      </c>
      <c r="C461" s="2" t="s">
        <v>179</v>
      </c>
      <c r="D461" s="6">
        <v>428.02</v>
      </c>
      <c r="E461" s="6">
        <v>3.0</v>
      </c>
      <c r="F461" s="7">
        <v>1284.06</v>
      </c>
      <c r="G461" s="2" t="s">
        <v>1449</v>
      </c>
      <c r="H461" s="2" t="s">
        <v>1450</v>
      </c>
      <c r="I461" s="2" t="s">
        <v>1451</v>
      </c>
    </row>
    <row r="462" ht="15.75" customHeight="1">
      <c r="A462" s="1">
        <v>45620.0</v>
      </c>
      <c r="B462" s="3" t="s">
        <v>9</v>
      </c>
      <c r="C462" s="2" t="s">
        <v>427</v>
      </c>
      <c r="D462" s="6">
        <v>1880.14</v>
      </c>
      <c r="E462" s="6">
        <v>1.0</v>
      </c>
      <c r="F462" s="7">
        <v>1880.14</v>
      </c>
      <c r="G462" s="2" t="s">
        <v>1452</v>
      </c>
      <c r="H462" s="2" t="s">
        <v>1453</v>
      </c>
      <c r="I462" s="2" t="s">
        <v>1454</v>
      </c>
    </row>
    <row r="463" ht="15.75" customHeight="1">
      <c r="A463" s="1">
        <v>45621.0</v>
      </c>
      <c r="B463" s="2" t="s">
        <v>34</v>
      </c>
      <c r="C463" s="2" t="s">
        <v>137</v>
      </c>
      <c r="D463" s="6">
        <v>1061.61</v>
      </c>
      <c r="E463" s="6">
        <v>1.0</v>
      </c>
      <c r="F463" s="7">
        <v>1061.61</v>
      </c>
      <c r="G463" s="2" t="s">
        <v>1455</v>
      </c>
      <c r="H463" s="2" t="s">
        <v>1456</v>
      </c>
      <c r="I463" s="2" t="s">
        <v>1457</v>
      </c>
    </row>
    <row r="464" ht="15.75" customHeight="1">
      <c r="A464" s="1">
        <v>45621.0</v>
      </c>
      <c r="B464" s="2" t="s">
        <v>57</v>
      </c>
      <c r="C464" s="2" t="s">
        <v>70</v>
      </c>
      <c r="D464" s="6">
        <v>564.69</v>
      </c>
      <c r="E464" s="6">
        <v>2.0</v>
      </c>
      <c r="F464" s="7">
        <v>1129.38</v>
      </c>
      <c r="G464" s="2" t="s">
        <v>1458</v>
      </c>
      <c r="H464" s="2" t="s">
        <v>1459</v>
      </c>
      <c r="I464" s="2" t="s">
        <v>1460</v>
      </c>
    </row>
    <row r="465" ht="15.75" customHeight="1">
      <c r="A465" s="1">
        <v>45621.0</v>
      </c>
      <c r="B465" s="3" t="s">
        <v>14</v>
      </c>
      <c r="C465" s="2" t="s">
        <v>123</v>
      </c>
      <c r="D465" s="6">
        <v>1847.8</v>
      </c>
      <c r="E465" s="6">
        <v>3.0</v>
      </c>
      <c r="F465" s="7">
        <v>5543.4</v>
      </c>
      <c r="G465" s="2" t="s">
        <v>1461</v>
      </c>
      <c r="H465" s="2" t="s">
        <v>1462</v>
      </c>
      <c r="I465" s="2" t="s">
        <v>1463</v>
      </c>
    </row>
    <row r="466" ht="15.75" customHeight="1">
      <c r="A466" s="1">
        <v>45621.0</v>
      </c>
      <c r="B466" s="3" t="s">
        <v>74</v>
      </c>
      <c r="C466" s="2" t="s">
        <v>137</v>
      </c>
      <c r="D466" s="6">
        <v>2476.21</v>
      </c>
      <c r="E466" s="6">
        <v>5.0</v>
      </c>
      <c r="F466" s="7">
        <v>12381.05</v>
      </c>
      <c r="G466" s="2" t="s">
        <v>1464</v>
      </c>
      <c r="H466" s="2" t="s">
        <v>1465</v>
      </c>
      <c r="I466" s="2" t="s">
        <v>1466</v>
      </c>
    </row>
    <row r="467" ht="15.75" customHeight="1">
      <c r="A467" s="1">
        <v>45621.0</v>
      </c>
      <c r="B467" s="3" t="s">
        <v>9</v>
      </c>
      <c r="C467" s="2" t="s">
        <v>1467</v>
      </c>
      <c r="D467" s="6">
        <v>1155.26</v>
      </c>
      <c r="E467" s="6">
        <v>4.0</v>
      </c>
      <c r="F467" s="7">
        <v>4621.04</v>
      </c>
      <c r="G467" s="2" t="s">
        <v>1468</v>
      </c>
      <c r="H467" s="2" t="s">
        <v>1469</v>
      </c>
      <c r="I467" s="2" t="s">
        <v>1470</v>
      </c>
    </row>
    <row r="468" ht="15.75" customHeight="1">
      <c r="A468" s="1">
        <v>45621.0</v>
      </c>
      <c r="B468" s="3" t="s">
        <v>29</v>
      </c>
      <c r="C468" s="2" t="s">
        <v>35</v>
      </c>
      <c r="D468" s="6">
        <v>1022.39</v>
      </c>
      <c r="E468" s="6">
        <v>2.0</v>
      </c>
      <c r="F468" s="7">
        <v>2044.78</v>
      </c>
      <c r="G468" s="2" t="s">
        <v>1471</v>
      </c>
      <c r="H468" s="2" t="s">
        <v>1472</v>
      </c>
      <c r="I468" s="2" t="s">
        <v>1473</v>
      </c>
    </row>
    <row r="469" ht="15.75" customHeight="1">
      <c r="A469" s="1">
        <v>45621.0</v>
      </c>
      <c r="B469" s="3" t="s">
        <v>29</v>
      </c>
      <c r="C469" s="2" t="s">
        <v>279</v>
      </c>
      <c r="D469" s="6">
        <v>110.53</v>
      </c>
      <c r="E469" s="6">
        <v>5.0</v>
      </c>
      <c r="F469" s="7">
        <v>552.65</v>
      </c>
      <c r="G469" s="2" t="s">
        <v>1474</v>
      </c>
      <c r="H469" s="2" t="s">
        <v>1475</v>
      </c>
      <c r="I469" s="2" t="s">
        <v>1476</v>
      </c>
    </row>
    <row r="470" ht="15.75" customHeight="1">
      <c r="A470" s="1">
        <v>45621.0</v>
      </c>
      <c r="B470" s="2" t="s">
        <v>34</v>
      </c>
      <c r="C470" s="2" t="s">
        <v>123</v>
      </c>
      <c r="D470" s="6">
        <v>1453.6</v>
      </c>
      <c r="E470" s="6">
        <v>4.0</v>
      </c>
      <c r="F470" s="7">
        <v>5814.4</v>
      </c>
      <c r="G470" s="2" t="s">
        <v>1477</v>
      </c>
      <c r="H470" s="2" t="s">
        <v>1478</v>
      </c>
      <c r="I470" s="2" t="s">
        <v>1479</v>
      </c>
    </row>
    <row r="471" ht="15.75" customHeight="1">
      <c r="A471" s="1">
        <v>45621.0</v>
      </c>
      <c r="B471" s="2" t="s">
        <v>34</v>
      </c>
      <c r="C471" s="2" t="s">
        <v>252</v>
      </c>
      <c r="D471" s="6">
        <v>2062.25</v>
      </c>
      <c r="E471" s="6">
        <v>3.0</v>
      </c>
      <c r="F471" s="7">
        <v>6186.75</v>
      </c>
      <c r="G471" s="2" t="s">
        <v>1480</v>
      </c>
      <c r="H471" s="2" t="s">
        <v>1481</v>
      </c>
      <c r="I471" s="2" t="s">
        <v>1482</v>
      </c>
    </row>
    <row r="472" ht="15.75" customHeight="1">
      <c r="A472" s="1">
        <v>45621.0</v>
      </c>
      <c r="B472" s="3" t="s">
        <v>9</v>
      </c>
      <c r="C472" s="2" t="s">
        <v>115</v>
      </c>
      <c r="D472" s="6">
        <v>1083.45</v>
      </c>
      <c r="E472" s="6">
        <v>5.0</v>
      </c>
      <c r="F472" s="7">
        <v>5417.25</v>
      </c>
      <c r="G472" s="2" t="s">
        <v>1483</v>
      </c>
      <c r="H472" s="2" t="s">
        <v>1484</v>
      </c>
      <c r="I472" s="2" t="s">
        <v>1485</v>
      </c>
    </row>
    <row r="473" ht="15.75" customHeight="1">
      <c r="A473" s="1">
        <v>45621.0</v>
      </c>
      <c r="B473" s="3" t="s">
        <v>14</v>
      </c>
      <c r="C473" s="2" t="s">
        <v>179</v>
      </c>
      <c r="D473" s="6">
        <v>2488.53</v>
      </c>
      <c r="E473" s="6">
        <v>1.0</v>
      </c>
      <c r="F473" s="7">
        <v>2488.53</v>
      </c>
      <c r="G473" s="2" t="s">
        <v>1486</v>
      </c>
      <c r="H473" s="2" t="s">
        <v>1487</v>
      </c>
      <c r="I473" s="2" t="s">
        <v>1488</v>
      </c>
    </row>
    <row r="474" ht="15.75" customHeight="1">
      <c r="A474" s="1">
        <v>45621.0</v>
      </c>
      <c r="B474" s="3" t="s">
        <v>74</v>
      </c>
      <c r="C474" s="2" t="s">
        <v>75</v>
      </c>
      <c r="D474" s="6">
        <v>2068.34</v>
      </c>
      <c r="E474" s="6">
        <v>2.0</v>
      </c>
      <c r="F474" s="7">
        <v>4136.68</v>
      </c>
      <c r="G474" s="2" t="s">
        <v>1489</v>
      </c>
      <c r="H474" s="2" t="s">
        <v>1490</v>
      </c>
      <c r="I474" s="2" t="s">
        <v>1491</v>
      </c>
    </row>
    <row r="475" ht="15.75" customHeight="1">
      <c r="A475" s="1">
        <v>45621.0</v>
      </c>
      <c r="B475" s="3" t="s">
        <v>14</v>
      </c>
      <c r="C475" s="2" t="s">
        <v>169</v>
      </c>
      <c r="D475" s="6">
        <v>1390.26</v>
      </c>
      <c r="E475" s="6">
        <v>1.0</v>
      </c>
      <c r="F475" s="7">
        <v>1390.26</v>
      </c>
      <c r="G475" s="2" t="s">
        <v>1492</v>
      </c>
      <c r="H475" s="2" t="s">
        <v>1493</v>
      </c>
      <c r="I475" s="2" t="s">
        <v>1494</v>
      </c>
    </row>
    <row r="476" ht="15.75" customHeight="1">
      <c r="A476" s="1">
        <v>45621.0</v>
      </c>
      <c r="B476" s="3" t="s">
        <v>29</v>
      </c>
      <c r="C476" s="2" t="s">
        <v>252</v>
      </c>
      <c r="D476" s="6">
        <v>1438.41</v>
      </c>
      <c r="E476" s="6">
        <v>4.0</v>
      </c>
      <c r="F476" s="7">
        <v>5753.64</v>
      </c>
      <c r="G476" s="2" t="s">
        <v>1495</v>
      </c>
      <c r="H476" s="2" t="s">
        <v>1496</v>
      </c>
      <c r="I476" s="2" t="s">
        <v>1497</v>
      </c>
    </row>
    <row r="477" ht="15.75" customHeight="1">
      <c r="A477" s="1">
        <v>45622.0</v>
      </c>
      <c r="B477" s="3" t="s">
        <v>9</v>
      </c>
      <c r="C477" s="2" t="s">
        <v>49</v>
      </c>
      <c r="D477" s="6">
        <v>2229.46</v>
      </c>
      <c r="E477" s="6">
        <v>3.0</v>
      </c>
      <c r="F477" s="7">
        <v>6688.38</v>
      </c>
      <c r="G477" s="2" t="s">
        <v>1498</v>
      </c>
      <c r="H477" s="2" t="s">
        <v>1499</v>
      </c>
      <c r="I477" s="2" t="s">
        <v>1500</v>
      </c>
    </row>
    <row r="478" ht="15.75" customHeight="1">
      <c r="A478" s="1">
        <v>45622.0</v>
      </c>
      <c r="B478" s="2" t="s">
        <v>34</v>
      </c>
      <c r="C478" s="2" t="s">
        <v>179</v>
      </c>
      <c r="D478" s="6">
        <v>324.09</v>
      </c>
      <c r="E478" s="6">
        <v>2.0</v>
      </c>
      <c r="F478" s="7">
        <v>648.18</v>
      </c>
      <c r="G478" s="2" t="s">
        <v>1501</v>
      </c>
      <c r="H478" s="2" t="s">
        <v>1502</v>
      </c>
      <c r="I478" s="2" t="s">
        <v>1503</v>
      </c>
    </row>
    <row r="479" ht="15.75" customHeight="1">
      <c r="A479" s="1">
        <v>45622.0</v>
      </c>
      <c r="B479" s="3" t="s">
        <v>74</v>
      </c>
      <c r="C479" s="2" t="s">
        <v>130</v>
      </c>
      <c r="D479" s="6">
        <v>664.21</v>
      </c>
      <c r="E479" s="6">
        <v>1.0</v>
      </c>
      <c r="F479" s="7">
        <v>664.21</v>
      </c>
      <c r="G479" s="2" t="s">
        <v>1504</v>
      </c>
      <c r="H479" s="2" t="s">
        <v>1505</v>
      </c>
      <c r="I479" s="2" t="s">
        <v>1506</v>
      </c>
    </row>
    <row r="480" ht="15.75" customHeight="1">
      <c r="A480" s="1">
        <v>45622.0</v>
      </c>
      <c r="B480" s="3" t="s">
        <v>29</v>
      </c>
      <c r="C480" s="2" t="s">
        <v>386</v>
      </c>
      <c r="D480" s="6">
        <v>412.36</v>
      </c>
      <c r="E480" s="6">
        <v>4.0</v>
      </c>
      <c r="F480" s="7">
        <v>1649.44</v>
      </c>
      <c r="G480" s="2" t="s">
        <v>1507</v>
      </c>
      <c r="H480" s="2" t="s">
        <v>1508</v>
      </c>
      <c r="I480" s="2" t="s">
        <v>1509</v>
      </c>
    </row>
    <row r="481" ht="15.75" customHeight="1">
      <c r="A481" s="1">
        <v>45622.0</v>
      </c>
      <c r="B481" s="2" t="s">
        <v>34</v>
      </c>
      <c r="C481" s="2" t="s">
        <v>187</v>
      </c>
      <c r="D481" s="6">
        <v>1247.08</v>
      </c>
      <c r="E481" s="6">
        <v>1.0</v>
      </c>
      <c r="F481" s="7">
        <v>1247.08</v>
      </c>
      <c r="G481" s="2" t="s">
        <v>1510</v>
      </c>
      <c r="H481" s="2" t="s">
        <v>1511</v>
      </c>
      <c r="I481" s="2" t="s">
        <v>1512</v>
      </c>
    </row>
    <row r="482" ht="15.75" customHeight="1">
      <c r="A482" s="1">
        <v>45622.0</v>
      </c>
      <c r="B482" s="3" t="s">
        <v>14</v>
      </c>
      <c r="C482" s="2" t="s">
        <v>289</v>
      </c>
      <c r="D482" s="6">
        <v>252.24</v>
      </c>
      <c r="E482" s="6">
        <v>5.0</v>
      </c>
      <c r="F482" s="7">
        <v>1261.2</v>
      </c>
      <c r="G482" s="2" t="s">
        <v>1513</v>
      </c>
      <c r="H482" s="2" t="s">
        <v>1514</v>
      </c>
      <c r="I482" s="2" t="s">
        <v>1515</v>
      </c>
    </row>
    <row r="483" ht="15.75" customHeight="1">
      <c r="A483" s="1">
        <v>45622.0</v>
      </c>
      <c r="B483" s="3" t="s">
        <v>29</v>
      </c>
      <c r="C483" s="2" t="s">
        <v>215</v>
      </c>
      <c r="D483" s="6">
        <v>1519.67</v>
      </c>
      <c r="E483" s="6">
        <v>4.0</v>
      </c>
      <c r="F483" s="7">
        <v>6078.68</v>
      </c>
      <c r="G483" s="2" t="s">
        <v>1516</v>
      </c>
      <c r="H483" s="2" t="s">
        <v>1517</v>
      </c>
      <c r="I483" s="2" t="s">
        <v>1518</v>
      </c>
    </row>
    <row r="484" ht="15.75" customHeight="1">
      <c r="A484" s="1">
        <v>45622.0</v>
      </c>
      <c r="B484" s="3" t="s">
        <v>14</v>
      </c>
      <c r="C484" s="2" t="s">
        <v>366</v>
      </c>
      <c r="D484" s="6">
        <v>488.25</v>
      </c>
      <c r="E484" s="6">
        <v>5.0</v>
      </c>
      <c r="F484" s="7">
        <v>2441.25</v>
      </c>
      <c r="G484" s="2" t="s">
        <v>1519</v>
      </c>
      <c r="H484" s="2" t="s">
        <v>1520</v>
      </c>
      <c r="I484" s="2" t="s">
        <v>1521</v>
      </c>
    </row>
    <row r="485" ht="15.75" customHeight="1">
      <c r="A485" s="1">
        <v>45622.0</v>
      </c>
      <c r="B485" s="3" t="s">
        <v>14</v>
      </c>
      <c r="C485" s="2" t="s">
        <v>83</v>
      </c>
      <c r="D485" s="6">
        <v>2210.34</v>
      </c>
      <c r="E485" s="6">
        <v>3.0</v>
      </c>
      <c r="F485" s="7">
        <v>6631.02</v>
      </c>
      <c r="G485" s="2" t="s">
        <v>1522</v>
      </c>
      <c r="H485" s="2" t="s">
        <v>1523</v>
      </c>
      <c r="I485" s="2" t="s">
        <v>1524</v>
      </c>
    </row>
    <row r="486" ht="15.75" customHeight="1">
      <c r="A486" s="1">
        <v>45622.0</v>
      </c>
      <c r="B486" s="3" t="s">
        <v>29</v>
      </c>
      <c r="C486" s="2" t="s">
        <v>53</v>
      </c>
      <c r="D486" s="6">
        <v>1892.73</v>
      </c>
      <c r="E486" s="6">
        <v>5.0</v>
      </c>
      <c r="F486" s="7">
        <v>9463.65</v>
      </c>
      <c r="G486" s="2" t="s">
        <v>1525</v>
      </c>
      <c r="H486" s="2" t="s">
        <v>1526</v>
      </c>
      <c r="I486" s="2" t="s">
        <v>1527</v>
      </c>
    </row>
    <row r="487" ht="15.75" customHeight="1">
      <c r="A487" s="1">
        <v>45623.0</v>
      </c>
      <c r="B487" s="3" t="s">
        <v>9</v>
      </c>
      <c r="C487" s="2" t="s">
        <v>396</v>
      </c>
      <c r="D487" s="6">
        <v>788.6</v>
      </c>
      <c r="E487" s="6">
        <v>4.0</v>
      </c>
      <c r="F487" s="7">
        <v>3154.4</v>
      </c>
      <c r="G487" s="2" t="s">
        <v>1528</v>
      </c>
      <c r="H487" s="2" t="s">
        <v>1529</v>
      </c>
      <c r="I487" s="2" t="s">
        <v>1530</v>
      </c>
    </row>
    <row r="488" ht="15.75" customHeight="1">
      <c r="A488" s="1">
        <v>45623.0</v>
      </c>
      <c r="B488" s="2" t="s">
        <v>34</v>
      </c>
      <c r="C488" s="2" t="s">
        <v>83</v>
      </c>
      <c r="D488" s="6">
        <v>1219.75</v>
      </c>
      <c r="E488" s="6">
        <v>2.0</v>
      </c>
      <c r="F488" s="7">
        <v>2439.5</v>
      </c>
      <c r="G488" s="2" t="s">
        <v>1531</v>
      </c>
      <c r="H488" s="2" t="s">
        <v>1532</v>
      </c>
      <c r="I488" s="2" t="s">
        <v>1533</v>
      </c>
    </row>
    <row r="489" ht="15.75" customHeight="1">
      <c r="A489" s="1">
        <v>45623.0</v>
      </c>
      <c r="B489" s="3" t="s">
        <v>9</v>
      </c>
      <c r="C489" s="2" t="s">
        <v>10</v>
      </c>
      <c r="D489" s="6">
        <v>2014.33</v>
      </c>
      <c r="E489" s="6">
        <v>4.0</v>
      </c>
      <c r="F489" s="7">
        <v>8057.32</v>
      </c>
      <c r="G489" s="2" t="s">
        <v>1534</v>
      </c>
      <c r="H489" s="2" t="s">
        <v>1535</v>
      </c>
      <c r="I489" s="2" t="s">
        <v>1536</v>
      </c>
    </row>
    <row r="490" ht="15.75" customHeight="1">
      <c r="A490" s="1">
        <v>45623.0</v>
      </c>
      <c r="B490" s="3" t="s">
        <v>29</v>
      </c>
      <c r="C490" s="2" t="s">
        <v>39</v>
      </c>
      <c r="D490" s="6">
        <v>1804.11</v>
      </c>
      <c r="E490" s="6">
        <v>4.0</v>
      </c>
      <c r="F490" s="7">
        <v>7216.44</v>
      </c>
      <c r="G490" s="2" t="s">
        <v>1537</v>
      </c>
      <c r="H490" s="2" t="s">
        <v>1538</v>
      </c>
      <c r="I490" s="2" t="s">
        <v>1539</v>
      </c>
    </row>
    <row r="491" ht="15.75" customHeight="1">
      <c r="A491" s="1">
        <v>45623.0</v>
      </c>
      <c r="B491" s="3" t="s">
        <v>14</v>
      </c>
      <c r="C491" s="2" t="s">
        <v>151</v>
      </c>
      <c r="D491" s="6">
        <v>764.41</v>
      </c>
      <c r="E491" s="6">
        <v>3.0</v>
      </c>
      <c r="F491" s="7">
        <v>2293.23</v>
      </c>
      <c r="G491" s="2" t="s">
        <v>1540</v>
      </c>
      <c r="H491" s="2" t="s">
        <v>1541</v>
      </c>
      <c r="I491" s="2" t="s">
        <v>1542</v>
      </c>
    </row>
    <row r="492" ht="15.75" customHeight="1">
      <c r="A492" s="1">
        <v>45623.0</v>
      </c>
      <c r="B492" s="3" t="s">
        <v>9</v>
      </c>
      <c r="C492" s="2" t="s">
        <v>15</v>
      </c>
      <c r="D492" s="6">
        <v>1713.18</v>
      </c>
      <c r="E492" s="6">
        <v>2.0</v>
      </c>
      <c r="F492" s="7">
        <v>3426.36</v>
      </c>
      <c r="G492" s="2" t="s">
        <v>1543</v>
      </c>
      <c r="H492" s="2" t="s">
        <v>1544</v>
      </c>
      <c r="I492" s="2" t="s">
        <v>1545</v>
      </c>
    </row>
    <row r="493" ht="15.75" customHeight="1">
      <c r="A493" s="1">
        <v>45623.0</v>
      </c>
      <c r="B493" s="3" t="s">
        <v>29</v>
      </c>
      <c r="C493" s="2" t="s">
        <v>66</v>
      </c>
      <c r="D493" s="6">
        <v>1160.86</v>
      </c>
      <c r="E493" s="6">
        <v>4.0</v>
      </c>
      <c r="F493" s="7">
        <v>4643.44</v>
      </c>
      <c r="G493" s="2" t="s">
        <v>1546</v>
      </c>
      <c r="H493" s="2" t="s">
        <v>1547</v>
      </c>
      <c r="I493" s="2" t="s">
        <v>1548</v>
      </c>
    </row>
    <row r="494" ht="15.75" customHeight="1">
      <c r="A494" s="1">
        <v>45623.0</v>
      </c>
      <c r="B494" s="2" t="s">
        <v>57</v>
      </c>
      <c r="C494" s="2" t="s">
        <v>183</v>
      </c>
      <c r="D494" s="6">
        <v>2160.65</v>
      </c>
      <c r="E494" s="6">
        <v>3.0</v>
      </c>
      <c r="F494" s="7">
        <v>6481.95</v>
      </c>
      <c r="G494" s="2" t="s">
        <v>1549</v>
      </c>
      <c r="H494" s="2" t="s">
        <v>1550</v>
      </c>
      <c r="I494" s="2" t="s">
        <v>1551</v>
      </c>
    </row>
    <row r="495" ht="15.75" customHeight="1">
      <c r="A495" s="1">
        <v>45624.0</v>
      </c>
      <c r="B495" s="3" t="s">
        <v>87</v>
      </c>
      <c r="C495" s="2" t="s">
        <v>289</v>
      </c>
      <c r="D495" s="6">
        <v>2297.62</v>
      </c>
      <c r="E495" s="6">
        <v>4.0</v>
      </c>
      <c r="F495" s="7">
        <v>9190.48</v>
      </c>
      <c r="G495" s="2" t="s">
        <v>1552</v>
      </c>
      <c r="H495" s="2" t="s">
        <v>1553</v>
      </c>
      <c r="I495" s="2" t="s">
        <v>1554</v>
      </c>
    </row>
    <row r="496" ht="15.75" customHeight="1">
      <c r="A496" s="1">
        <v>45624.0</v>
      </c>
      <c r="B496" s="3" t="s">
        <v>14</v>
      </c>
      <c r="C496" s="2" t="s">
        <v>22</v>
      </c>
      <c r="D496" s="6">
        <v>1795.59</v>
      </c>
      <c r="E496" s="6">
        <v>5.0</v>
      </c>
      <c r="F496" s="7">
        <v>8977.95</v>
      </c>
      <c r="G496" s="2" t="s">
        <v>1555</v>
      </c>
      <c r="H496" s="2" t="s">
        <v>1556</v>
      </c>
      <c r="I496" s="8" t="s">
        <v>1557</v>
      </c>
    </row>
    <row r="497" ht="15.75" customHeight="1">
      <c r="A497" s="1">
        <v>45624.0</v>
      </c>
      <c r="B497" s="3" t="s">
        <v>29</v>
      </c>
      <c r="C497" s="2" t="s">
        <v>256</v>
      </c>
      <c r="D497" s="6">
        <v>2087.73</v>
      </c>
      <c r="E497" s="6">
        <v>1.0</v>
      </c>
      <c r="F497" s="4"/>
      <c r="G497" s="2" t="s">
        <v>1558</v>
      </c>
      <c r="H497" s="2" t="s">
        <v>1559</v>
      </c>
      <c r="I497" s="2" t="s">
        <v>1560</v>
      </c>
    </row>
    <row r="498" ht="15.75" customHeight="1">
      <c r="A498" s="1">
        <v>45624.0</v>
      </c>
      <c r="B498" s="3" t="s">
        <v>9</v>
      </c>
      <c r="C498" s="2" t="s">
        <v>226</v>
      </c>
      <c r="D498" s="6">
        <v>1168.3</v>
      </c>
      <c r="E498" s="6">
        <v>3.0</v>
      </c>
      <c r="F498" s="7">
        <v>3504.9</v>
      </c>
      <c r="G498" s="2" t="s">
        <v>1561</v>
      </c>
      <c r="H498" s="2" t="s">
        <v>1562</v>
      </c>
      <c r="I498" s="2" t="s">
        <v>1563</v>
      </c>
    </row>
    <row r="499" ht="15.75" customHeight="1">
      <c r="A499" s="1">
        <v>45624.0</v>
      </c>
      <c r="B499" s="3" t="s">
        <v>9</v>
      </c>
      <c r="C499" s="2" t="s">
        <v>165</v>
      </c>
      <c r="D499" s="6">
        <v>1654.16</v>
      </c>
      <c r="E499" s="6">
        <v>1.0</v>
      </c>
      <c r="F499" s="7">
        <v>1654.16</v>
      </c>
      <c r="G499" s="2" t="s">
        <v>1564</v>
      </c>
      <c r="H499" s="2" t="s">
        <v>1565</v>
      </c>
      <c r="I499" s="2" t="s">
        <v>1566</v>
      </c>
    </row>
    <row r="500" ht="15.75" customHeight="1">
      <c r="A500" s="1">
        <v>45624.0</v>
      </c>
      <c r="B500" s="3" t="s">
        <v>9</v>
      </c>
      <c r="C500" s="2" t="s">
        <v>22</v>
      </c>
      <c r="D500" s="6">
        <v>563.92</v>
      </c>
      <c r="E500" s="6">
        <v>2.0</v>
      </c>
      <c r="F500" s="7">
        <v>1127.84</v>
      </c>
      <c r="G500" s="2" t="s">
        <v>1567</v>
      </c>
      <c r="H500" s="2" t="s">
        <v>1568</v>
      </c>
      <c r="I500" s="2" t="s">
        <v>1569</v>
      </c>
    </row>
    <row r="501" ht="15.75" customHeight="1">
      <c r="A501" s="1">
        <v>45624.0</v>
      </c>
      <c r="B501" s="3" t="s">
        <v>74</v>
      </c>
      <c r="C501" s="2" t="s">
        <v>130</v>
      </c>
      <c r="D501" s="6">
        <v>684.7</v>
      </c>
      <c r="E501" s="6">
        <v>5.0</v>
      </c>
      <c r="F501" s="7">
        <v>3423.5</v>
      </c>
      <c r="G501" s="2" t="s">
        <v>1570</v>
      </c>
      <c r="H501" s="2" t="s">
        <v>1571</v>
      </c>
      <c r="I501" s="2" t="s">
        <v>1572</v>
      </c>
    </row>
    <row r="502" ht="15.75" customHeight="1">
      <c r="A502" s="1">
        <v>45624.0</v>
      </c>
      <c r="B502" s="2" t="s">
        <v>57</v>
      </c>
      <c r="C502" s="2" t="s">
        <v>58</v>
      </c>
      <c r="D502" s="6">
        <v>1496.64</v>
      </c>
      <c r="E502" s="6">
        <v>2.0</v>
      </c>
      <c r="F502" s="7">
        <v>2993.28</v>
      </c>
      <c r="G502" s="2" t="s">
        <v>1573</v>
      </c>
      <c r="H502" s="2" t="s">
        <v>1574</v>
      </c>
      <c r="I502" s="2" t="s">
        <v>1575</v>
      </c>
    </row>
    <row r="503" ht="15.75" customHeight="1">
      <c r="A503" s="1">
        <v>45625.0</v>
      </c>
      <c r="B503" s="2" t="s">
        <v>57</v>
      </c>
      <c r="C503" s="2" t="s">
        <v>66</v>
      </c>
      <c r="D503" s="6">
        <v>337.5</v>
      </c>
      <c r="E503" s="6">
        <v>5.0</v>
      </c>
      <c r="F503" s="7">
        <v>1687.5</v>
      </c>
      <c r="G503" s="2" t="s">
        <v>1576</v>
      </c>
      <c r="H503" s="2" t="s">
        <v>1577</v>
      </c>
      <c r="I503" s="8" t="s">
        <v>1578</v>
      </c>
    </row>
    <row r="504" ht="15.75" customHeight="1">
      <c r="A504" s="1">
        <v>45625.0</v>
      </c>
      <c r="B504" s="2" t="s">
        <v>57</v>
      </c>
      <c r="C504" s="2" t="s">
        <v>316</v>
      </c>
      <c r="D504" s="6">
        <v>251.95</v>
      </c>
      <c r="E504" s="6">
        <v>5.0</v>
      </c>
      <c r="F504" s="7">
        <v>1259.75</v>
      </c>
      <c r="G504" s="2" t="s">
        <v>1579</v>
      </c>
      <c r="H504" s="2" t="s">
        <v>1580</v>
      </c>
      <c r="I504" s="2" t="s">
        <v>1581</v>
      </c>
    </row>
    <row r="505" ht="15.75" customHeight="1">
      <c r="A505" s="1">
        <v>45625.0</v>
      </c>
      <c r="B505" s="3" t="s">
        <v>29</v>
      </c>
      <c r="C505" s="2" t="s">
        <v>137</v>
      </c>
      <c r="D505" s="6">
        <v>568.57</v>
      </c>
      <c r="E505" s="6">
        <v>3.0</v>
      </c>
      <c r="F505" s="7">
        <v>1705.71</v>
      </c>
      <c r="G505" s="2" t="s">
        <v>1582</v>
      </c>
      <c r="H505" s="2" t="s">
        <v>1583</v>
      </c>
      <c r="I505" s="2" t="s">
        <v>1584</v>
      </c>
    </row>
    <row r="506" ht="15.75" customHeight="1">
      <c r="A506" s="1">
        <v>45625.0</v>
      </c>
      <c r="B506" s="3" t="s">
        <v>9</v>
      </c>
      <c r="C506" s="2" t="s">
        <v>1585</v>
      </c>
      <c r="D506" s="6">
        <v>1491.36</v>
      </c>
      <c r="E506" s="6">
        <v>2.0</v>
      </c>
      <c r="F506" s="7">
        <v>2982.72</v>
      </c>
      <c r="G506" s="2" t="s">
        <v>1586</v>
      </c>
      <c r="H506" s="2" t="s">
        <v>1587</v>
      </c>
      <c r="I506" s="2" t="s">
        <v>1588</v>
      </c>
    </row>
    <row r="507" ht="15.75" customHeight="1">
      <c r="A507" s="1">
        <v>45625.0</v>
      </c>
      <c r="B507" s="3" t="s">
        <v>74</v>
      </c>
      <c r="C507" s="2" t="s">
        <v>62</v>
      </c>
      <c r="D507" s="6">
        <v>1083.91</v>
      </c>
      <c r="E507" s="6">
        <v>3.0</v>
      </c>
      <c r="F507" s="7">
        <v>3251.73</v>
      </c>
      <c r="G507" s="2" t="s">
        <v>1589</v>
      </c>
      <c r="H507" s="2" t="s">
        <v>1590</v>
      </c>
      <c r="I507" s="2" t="s">
        <v>1591</v>
      </c>
    </row>
    <row r="508" ht="15.75" customHeight="1">
      <c r="A508" s="1">
        <v>45625.0</v>
      </c>
      <c r="B508" s="3" t="s">
        <v>9</v>
      </c>
      <c r="C508" s="2" t="s">
        <v>10</v>
      </c>
      <c r="D508" s="6">
        <v>2254.91</v>
      </c>
      <c r="E508" s="6">
        <v>4.0</v>
      </c>
      <c r="F508" s="7">
        <v>9019.64</v>
      </c>
      <c r="G508" s="2" t="s">
        <v>1592</v>
      </c>
      <c r="H508" s="2" t="s">
        <v>1593</v>
      </c>
      <c r="I508" s="2" t="s">
        <v>1594</v>
      </c>
    </row>
    <row r="509" ht="15.75" customHeight="1">
      <c r="A509" s="1">
        <v>45625.0</v>
      </c>
      <c r="B509" s="3" t="s">
        <v>29</v>
      </c>
      <c r="C509" s="2" t="s">
        <v>161</v>
      </c>
      <c r="D509" s="6">
        <v>1615.43</v>
      </c>
      <c r="E509" s="6">
        <v>5.0</v>
      </c>
      <c r="F509" s="7">
        <v>8077.15</v>
      </c>
      <c r="G509" s="2" t="s">
        <v>1595</v>
      </c>
      <c r="H509" s="2" t="s">
        <v>1596</v>
      </c>
      <c r="I509" s="2" t="s">
        <v>1597</v>
      </c>
    </row>
    <row r="510" ht="15.75" customHeight="1">
      <c r="A510" s="1">
        <v>45625.0</v>
      </c>
      <c r="B510" s="3" t="s">
        <v>74</v>
      </c>
      <c r="C510" s="2" t="s">
        <v>252</v>
      </c>
      <c r="D510" s="6">
        <v>411.02</v>
      </c>
      <c r="E510" s="6">
        <v>1.0</v>
      </c>
      <c r="F510" s="7">
        <v>411.02</v>
      </c>
      <c r="G510" s="2" t="s">
        <v>1598</v>
      </c>
      <c r="H510" s="2" t="s">
        <v>1599</v>
      </c>
      <c r="I510" s="2" t="s">
        <v>1600</v>
      </c>
    </row>
    <row r="511" ht="15.75" customHeight="1">
      <c r="A511" s="1">
        <v>45626.0</v>
      </c>
      <c r="B511" s="2" t="s">
        <v>57</v>
      </c>
      <c r="C511" s="2" t="s">
        <v>316</v>
      </c>
      <c r="D511" s="6">
        <v>1109.64</v>
      </c>
      <c r="E511" s="6">
        <v>3.0</v>
      </c>
      <c r="F511" s="4"/>
      <c r="G511" s="2" t="s">
        <v>1601</v>
      </c>
      <c r="H511" s="2" t="s">
        <v>1602</v>
      </c>
      <c r="I511" s="2" t="s">
        <v>1603</v>
      </c>
    </row>
    <row r="512" ht="15.75" customHeight="1">
      <c r="A512" s="1">
        <v>45626.0</v>
      </c>
      <c r="B512" s="2" t="s">
        <v>34</v>
      </c>
      <c r="C512" s="2" t="s">
        <v>79</v>
      </c>
      <c r="D512" s="6">
        <v>2256.04</v>
      </c>
      <c r="E512" s="6">
        <v>5.0</v>
      </c>
      <c r="F512" s="7">
        <v>11280.2</v>
      </c>
      <c r="G512" s="2" t="s">
        <v>1604</v>
      </c>
      <c r="H512" s="2" t="s">
        <v>1605</v>
      </c>
      <c r="I512" s="2" t="s">
        <v>1606</v>
      </c>
    </row>
    <row r="513" ht="15.75" customHeight="1">
      <c r="A513" s="1">
        <v>45626.0</v>
      </c>
      <c r="B513" s="3" t="s">
        <v>29</v>
      </c>
      <c r="C513" s="2" t="s">
        <v>88</v>
      </c>
      <c r="D513" s="6">
        <v>616.36</v>
      </c>
      <c r="E513" s="6">
        <v>4.0</v>
      </c>
      <c r="F513" s="7">
        <v>2465.44</v>
      </c>
      <c r="G513" s="2" t="s">
        <v>1607</v>
      </c>
      <c r="H513" s="2" t="s">
        <v>1608</v>
      </c>
      <c r="I513" s="2" t="s">
        <v>1609</v>
      </c>
    </row>
    <row r="514" ht="15.75" customHeight="1">
      <c r="A514" s="1">
        <v>45626.0</v>
      </c>
      <c r="B514" s="3" t="s">
        <v>9</v>
      </c>
      <c r="C514" s="2" t="s">
        <v>66</v>
      </c>
      <c r="D514" s="6">
        <v>206.29</v>
      </c>
      <c r="E514" s="6">
        <v>4.0</v>
      </c>
      <c r="F514" s="7">
        <v>825.16</v>
      </c>
      <c r="G514" s="2" t="s">
        <v>1610</v>
      </c>
      <c r="H514" s="2" t="s">
        <v>1611</v>
      </c>
      <c r="I514" s="2" t="s">
        <v>1612</v>
      </c>
    </row>
    <row r="515" ht="15.75" customHeight="1">
      <c r="A515" s="1">
        <v>45626.0</v>
      </c>
      <c r="B515" s="2" t="s">
        <v>34</v>
      </c>
      <c r="C515" s="2" t="s">
        <v>39</v>
      </c>
      <c r="D515" s="6">
        <v>890.66</v>
      </c>
      <c r="E515" s="6">
        <v>1.0</v>
      </c>
      <c r="F515" s="7">
        <v>890.66</v>
      </c>
      <c r="G515" s="2" t="s">
        <v>1613</v>
      </c>
      <c r="H515" s="2" t="s">
        <v>1614</v>
      </c>
      <c r="I515" s="2" t="s">
        <v>1615</v>
      </c>
    </row>
    <row r="516" ht="15.75" customHeight="1">
      <c r="A516" s="1">
        <v>45626.0</v>
      </c>
      <c r="B516" s="3" t="s">
        <v>74</v>
      </c>
      <c r="C516" s="2" t="s">
        <v>341</v>
      </c>
      <c r="D516" s="6">
        <v>1208.42</v>
      </c>
      <c r="E516" s="6">
        <v>3.0</v>
      </c>
      <c r="F516" s="7">
        <v>3625.26</v>
      </c>
      <c r="G516" s="2" t="s">
        <v>1616</v>
      </c>
      <c r="H516" s="2" t="s">
        <v>1617</v>
      </c>
      <c r="I516" s="2" t="s">
        <v>1618</v>
      </c>
    </row>
    <row r="517" ht="15.75" customHeight="1">
      <c r="A517" s="1">
        <v>45626.0</v>
      </c>
      <c r="B517" s="3" t="s">
        <v>9</v>
      </c>
      <c r="C517" s="2" t="s">
        <v>1619</v>
      </c>
      <c r="D517" s="6">
        <v>2148.99</v>
      </c>
      <c r="E517" s="6">
        <v>5.0</v>
      </c>
      <c r="F517" s="7">
        <v>10744.95</v>
      </c>
      <c r="G517" s="2" t="s">
        <v>1620</v>
      </c>
      <c r="H517" s="2" t="s">
        <v>1621</v>
      </c>
      <c r="I517" s="2" t="s">
        <v>1622</v>
      </c>
    </row>
    <row r="518" ht="15.75" customHeight="1">
      <c r="A518" s="1">
        <v>45626.0</v>
      </c>
      <c r="B518" s="2" t="s">
        <v>34</v>
      </c>
      <c r="C518" s="2" t="s">
        <v>226</v>
      </c>
      <c r="D518" s="6">
        <v>1560.05</v>
      </c>
      <c r="E518" s="6">
        <v>1.0</v>
      </c>
      <c r="F518" s="7">
        <v>1560.05</v>
      </c>
      <c r="G518" s="2" t="s">
        <v>1623</v>
      </c>
      <c r="H518" s="2" t="s">
        <v>1624</v>
      </c>
      <c r="I518" s="2" t="s">
        <v>1625</v>
      </c>
    </row>
    <row r="519" ht="15.75" customHeight="1">
      <c r="A519" s="1">
        <v>45627.0</v>
      </c>
      <c r="B519" s="2" t="s">
        <v>1626</v>
      </c>
      <c r="C519" s="2" t="s">
        <v>179</v>
      </c>
      <c r="D519" s="6">
        <v>1114.1</v>
      </c>
      <c r="E519" s="6">
        <v>3.0</v>
      </c>
      <c r="F519" s="7">
        <v>3342.3</v>
      </c>
      <c r="G519" s="2" t="s">
        <v>1627</v>
      </c>
      <c r="H519" s="2" t="s">
        <v>1628</v>
      </c>
      <c r="I519" s="2" t="s">
        <v>1629</v>
      </c>
    </row>
    <row r="520" ht="15.75" customHeight="1">
      <c r="A520" s="1">
        <v>45627.0</v>
      </c>
      <c r="B520" s="3" t="s">
        <v>29</v>
      </c>
      <c r="C520" s="2" t="s">
        <v>10</v>
      </c>
      <c r="D520" s="6">
        <v>2261.15</v>
      </c>
      <c r="E520" s="6">
        <v>1.0</v>
      </c>
      <c r="F520" s="7">
        <v>2261.15</v>
      </c>
      <c r="G520" s="2" t="s">
        <v>1630</v>
      </c>
      <c r="H520" s="2" t="s">
        <v>1631</v>
      </c>
      <c r="I520" s="2" t="s">
        <v>1632</v>
      </c>
    </row>
    <row r="521" ht="15.75" customHeight="1">
      <c r="A521" s="1">
        <v>45627.0</v>
      </c>
      <c r="B521" s="3" t="s">
        <v>29</v>
      </c>
      <c r="C521" s="2" t="s">
        <v>226</v>
      </c>
      <c r="D521" s="6">
        <v>157.89</v>
      </c>
      <c r="E521" s="6">
        <v>1.0</v>
      </c>
      <c r="F521" s="7">
        <v>157.89</v>
      </c>
      <c r="G521" s="2" t="s">
        <v>1633</v>
      </c>
      <c r="H521" s="2" t="s">
        <v>1634</v>
      </c>
      <c r="I521" s="2" t="s">
        <v>1635</v>
      </c>
    </row>
    <row r="522" ht="15.75" customHeight="1">
      <c r="A522" s="1">
        <v>45627.0</v>
      </c>
      <c r="B522" s="3" t="s">
        <v>14</v>
      </c>
      <c r="C522" s="2" t="s">
        <v>183</v>
      </c>
      <c r="D522" s="6">
        <v>2060.35</v>
      </c>
      <c r="E522" s="6">
        <v>3.0</v>
      </c>
      <c r="F522" s="7">
        <v>6181.05</v>
      </c>
      <c r="G522" s="2" t="s">
        <v>1636</v>
      </c>
      <c r="H522" s="2" t="s">
        <v>1637</v>
      </c>
      <c r="I522" s="2" t="s">
        <v>1638</v>
      </c>
    </row>
    <row r="523" ht="15.75" customHeight="1">
      <c r="A523" s="1">
        <v>45628.0</v>
      </c>
      <c r="B523" s="2" t="s">
        <v>114</v>
      </c>
      <c r="C523" s="2" t="s">
        <v>230</v>
      </c>
      <c r="D523" s="6">
        <v>218.94</v>
      </c>
      <c r="E523" s="6">
        <v>3.0</v>
      </c>
      <c r="F523" s="7">
        <v>656.82</v>
      </c>
      <c r="G523" s="2" t="s">
        <v>1639</v>
      </c>
      <c r="H523" s="2" t="s">
        <v>1640</v>
      </c>
      <c r="I523" s="2" t="s">
        <v>1641</v>
      </c>
    </row>
    <row r="524" ht="15.75" customHeight="1">
      <c r="A524" s="1">
        <v>45628.0</v>
      </c>
      <c r="B524" s="3" t="s">
        <v>14</v>
      </c>
      <c r="C524" s="2" t="s">
        <v>169</v>
      </c>
      <c r="D524" s="6">
        <v>78.53</v>
      </c>
      <c r="E524" s="6">
        <v>2.0</v>
      </c>
      <c r="F524" s="7">
        <v>157.06</v>
      </c>
      <c r="G524" s="2" t="s">
        <v>1642</v>
      </c>
      <c r="H524" s="2" t="s">
        <v>1643</v>
      </c>
      <c r="I524" s="2" t="s">
        <v>1644</v>
      </c>
    </row>
    <row r="525" ht="15.75" customHeight="1">
      <c r="A525" s="1">
        <v>45629.0</v>
      </c>
      <c r="B525" s="2" t="s">
        <v>34</v>
      </c>
      <c r="C525" s="2" t="s">
        <v>88</v>
      </c>
      <c r="D525" s="6">
        <v>2294.28</v>
      </c>
      <c r="E525" s="6">
        <v>1.0</v>
      </c>
      <c r="F525" s="7">
        <v>2294.28</v>
      </c>
      <c r="G525" s="2" t="s">
        <v>1645</v>
      </c>
      <c r="H525" s="2" t="s">
        <v>1646</v>
      </c>
      <c r="I525" s="2" t="s">
        <v>1647</v>
      </c>
    </row>
    <row r="526" ht="15.75" customHeight="1">
      <c r="A526" s="1">
        <v>45629.0</v>
      </c>
      <c r="B526" s="2" t="s">
        <v>114</v>
      </c>
      <c r="C526" s="2" t="s">
        <v>215</v>
      </c>
      <c r="D526" s="6">
        <v>90.89</v>
      </c>
      <c r="E526" s="6">
        <v>1.0</v>
      </c>
      <c r="F526" s="7">
        <v>90.89</v>
      </c>
      <c r="G526" s="2" t="s">
        <v>1648</v>
      </c>
      <c r="H526" s="2" t="s">
        <v>1649</v>
      </c>
      <c r="I526" s="2" t="s">
        <v>1650</v>
      </c>
    </row>
    <row r="527" ht="15.75" customHeight="1">
      <c r="A527" s="1">
        <v>45629.0</v>
      </c>
      <c r="B527" s="3" t="s">
        <v>29</v>
      </c>
      <c r="C527" s="2" t="s">
        <v>39</v>
      </c>
      <c r="D527" s="6">
        <v>1464.04</v>
      </c>
      <c r="E527" s="6">
        <v>4.0</v>
      </c>
      <c r="F527" s="7">
        <v>5856.16</v>
      </c>
      <c r="G527" s="2" t="s">
        <v>1651</v>
      </c>
      <c r="H527" s="2" t="s">
        <v>1652</v>
      </c>
      <c r="I527" s="2" t="s">
        <v>1653</v>
      </c>
    </row>
    <row r="528" ht="15.75" customHeight="1">
      <c r="A528" s="1">
        <v>45629.0</v>
      </c>
      <c r="B528" s="3" t="s">
        <v>74</v>
      </c>
      <c r="C528" s="2" t="s">
        <v>341</v>
      </c>
      <c r="D528" s="6">
        <v>690.26</v>
      </c>
      <c r="E528" s="6">
        <v>4.0</v>
      </c>
      <c r="F528" s="7">
        <v>2761.04</v>
      </c>
      <c r="G528" s="2" t="s">
        <v>1654</v>
      </c>
      <c r="H528" s="2" t="s">
        <v>1655</v>
      </c>
      <c r="I528" s="2" t="s">
        <v>1656</v>
      </c>
    </row>
    <row r="529" ht="15.75" customHeight="1">
      <c r="A529" s="1">
        <v>45630.0</v>
      </c>
      <c r="B529" s="3" t="s">
        <v>74</v>
      </c>
      <c r="C529" s="2" t="s">
        <v>279</v>
      </c>
      <c r="D529" s="6">
        <v>1902.94</v>
      </c>
      <c r="E529" s="6">
        <v>4.0</v>
      </c>
      <c r="F529" s="7">
        <v>7611.76</v>
      </c>
      <c r="G529" s="2" t="s">
        <v>1657</v>
      </c>
      <c r="H529" s="2" t="s">
        <v>1658</v>
      </c>
      <c r="I529" s="2" t="s">
        <v>1659</v>
      </c>
    </row>
    <row r="530" ht="15.75" customHeight="1">
      <c r="A530" s="1">
        <v>45630.0</v>
      </c>
      <c r="B530" s="2" t="s">
        <v>57</v>
      </c>
      <c r="C530" s="2" t="s">
        <v>366</v>
      </c>
      <c r="D530" s="6">
        <v>2281.58</v>
      </c>
      <c r="E530" s="6">
        <v>1.0</v>
      </c>
      <c r="F530" s="7">
        <v>2281.58</v>
      </c>
      <c r="G530" s="2" t="s">
        <v>1660</v>
      </c>
      <c r="H530" s="2" t="s">
        <v>1661</v>
      </c>
      <c r="I530" s="2" t="s">
        <v>1662</v>
      </c>
    </row>
    <row r="531" ht="15.75" customHeight="1">
      <c r="A531" s="1">
        <v>45630.0</v>
      </c>
      <c r="B531" s="2" t="s">
        <v>34</v>
      </c>
      <c r="C531" s="2" t="s">
        <v>165</v>
      </c>
      <c r="D531" s="6">
        <v>1019.3</v>
      </c>
      <c r="E531" s="6">
        <v>4.0</v>
      </c>
      <c r="F531" s="7">
        <v>4077.2</v>
      </c>
      <c r="G531" s="2" t="s">
        <v>1663</v>
      </c>
      <c r="H531" s="2" t="s">
        <v>1664</v>
      </c>
      <c r="I531" s="2" t="s">
        <v>1665</v>
      </c>
    </row>
    <row r="532" ht="15.75" customHeight="1">
      <c r="A532" s="1">
        <v>45630.0</v>
      </c>
      <c r="B532" s="3" t="s">
        <v>87</v>
      </c>
      <c r="C532" s="2" t="s">
        <v>289</v>
      </c>
      <c r="D532" s="6">
        <v>1113.91</v>
      </c>
      <c r="E532" s="6">
        <v>2.0</v>
      </c>
      <c r="F532" s="7">
        <v>2227.82</v>
      </c>
      <c r="G532" s="2" t="s">
        <v>1666</v>
      </c>
      <c r="H532" s="2" t="s">
        <v>1667</v>
      </c>
      <c r="I532" s="8" t="s">
        <v>1668</v>
      </c>
    </row>
    <row r="533" ht="15.75" customHeight="1">
      <c r="A533" s="1">
        <v>45631.0</v>
      </c>
      <c r="B533" s="2" t="s">
        <v>57</v>
      </c>
      <c r="C533" s="2" t="s">
        <v>75</v>
      </c>
      <c r="D533" s="6">
        <v>2246.48</v>
      </c>
      <c r="E533" s="6">
        <v>1.0</v>
      </c>
      <c r="F533" s="7">
        <v>2246.48</v>
      </c>
      <c r="G533" s="2" t="s">
        <v>1669</v>
      </c>
      <c r="H533" s="2" t="s">
        <v>1670</v>
      </c>
      <c r="I533" s="2" t="s">
        <v>1671</v>
      </c>
    </row>
    <row r="534" ht="15.75" customHeight="1">
      <c r="A534" s="1">
        <v>45631.0</v>
      </c>
      <c r="B534" s="3" t="s">
        <v>29</v>
      </c>
      <c r="C534" s="2" t="s">
        <v>179</v>
      </c>
      <c r="D534" s="6">
        <v>496.1</v>
      </c>
      <c r="E534" s="6">
        <v>3.0</v>
      </c>
      <c r="F534" s="7">
        <v>1488.3</v>
      </c>
      <c r="G534" s="2" t="s">
        <v>1672</v>
      </c>
      <c r="H534" s="2" t="s">
        <v>1673</v>
      </c>
      <c r="I534" s="2" t="s">
        <v>1674</v>
      </c>
    </row>
    <row r="535" ht="15.75" customHeight="1">
      <c r="A535" s="1">
        <v>45631.0</v>
      </c>
      <c r="B535" s="3" t="s">
        <v>9</v>
      </c>
      <c r="C535" s="2" t="s">
        <v>230</v>
      </c>
      <c r="D535" s="6">
        <v>1005.46</v>
      </c>
      <c r="E535" s="6">
        <v>5.0</v>
      </c>
      <c r="F535" s="7">
        <v>5027.3</v>
      </c>
      <c r="G535" s="2" t="s">
        <v>1675</v>
      </c>
      <c r="H535" s="2" t="s">
        <v>1676</v>
      </c>
      <c r="I535" s="2" t="s">
        <v>1677</v>
      </c>
    </row>
    <row r="536" ht="15.75" customHeight="1">
      <c r="A536" s="1">
        <v>45631.0</v>
      </c>
      <c r="B536" s="2" t="s">
        <v>57</v>
      </c>
      <c r="C536" s="2" t="s">
        <v>386</v>
      </c>
      <c r="D536" s="6">
        <v>379.11</v>
      </c>
      <c r="E536" s="6">
        <v>1.0</v>
      </c>
      <c r="F536" s="7">
        <v>379.11</v>
      </c>
      <c r="G536" s="2" t="s">
        <v>1678</v>
      </c>
      <c r="H536" s="2" t="s">
        <v>1679</v>
      </c>
      <c r="I536" s="2" t="s">
        <v>1680</v>
      </c>
    </row>
    <row r="537" ht="15.75" customHeight="1">
      <c r="A537" s="1">
        <v>45631.0</v>
      </c>
      <c r="B537" s="3" t="s">
        <v>74</v>
      </c>
      <c r="C537" s="2" t="s">
        <v>279</v>
      </c>
      <c r="D537" s="6">
        <v>1742.12</v>
      </c>
      <c r="E537" s="6">
        <v>4.0</v>
      </c>
      <c r="F537" s="7">
        <v>6968.48</v>
      </c>
      <c r="G537" s="2" t="s">
        <v>1681</v>
      </c>
      <c r="H537" s="2" t="s">
        <v>1682</v>
      </c>
      <c r="I537" s="2" t="s">
        <v>1683</v>
      </c>
    </row>
    <row r="538" ht="15.75" customHeight="1">
      <c r="A538" s="1">
        <v>45632.0</v>
      </c>
      <c r="B538" s="2" t="s">
        <v>34</v>
      </c>
      <c r="C538" s="2" t="s">
        <v>312</v>
      </c>
      <c r="D538" s="6">
        <v>1143.24</v>
      </c>
      <c r="E538" s="6">
        <v>2.0</v>
      </c>
      <c r="F538" s="7">
        <v>2286.48</v>
      </c>
      <c r="G538" s="2" t="s">
        <v>1684</v>
      </c>
      <c r="H538" s="2" t="s">
        <v>1685</v>
      </c>
      <c r="I538" s="2" t="s">
        <v>1686</v>
      </c>
    </row>
    <row r="539" ht="15.75" customHeight="1">
      <c r="A539" s="1">
        <v>45632.0</v>
      </c>
      <c r="B539" s="3" t="s">
        <v>9</v>
      </c>
      <c r="C539" s="2" t="s">
        <v>308</v>
      </c>
      <c r="D539" s="2"/>
      <c r="E539" s="6">
        <v>1.0</v>
      </c>
      <c r="F539" s="7">
        <v>1955.27</v>
      </c>
      <c r="G539" s="2" t="s">
        <v>1687</v>
      </c>
      <c r="H539" s="2" t="s">
        <v>1688</v>
      </c>
      <c r="I539" s="2" t="s">
        <v>1689</v>
      </c>
    </row>
    <row r="540" ht="15.75" customHeight="1">
      <c r="A540" s="1">
        <v>45632.0</v>
      </c>
      <c r="B540" s="3" t="s">
        <v>14</v>
      </c>
      <c r="C540" s="2" t="s">
        <v>366</v>
      </c>
      <c r="D540" s="6">
        <v>1440.56</v>
      </c>
      <c r="E540" s="6">
        <v>1.0</v>
      </c>
      <c r="F540" s="7">
        <v>1440.56</v>
      </c>
      <c r="G540" s="2" t="s">
        <v>1690</v>
      </c>
      <c r="H540" s="2" t="s">
        <v>1691</v>
      </c>
      <c r="I540" s="2" t="s">
        <v>1692</v>
      </c>
    </row>
    <row r="541" ht="15.75" customHeight="1">
      <c r="A541" s="1">
        <v>45633.0</v>
      </c>
      <c r="B541" s="3" t="s">
        <v>9</v>
      </c>
      <c r="C541" s="2" t="s">
        <v>396</v>
      </c>
      <c r="D541" s="6">
        <v>1636.89</v>
      </c>
      <c r="E541" s="6">
        <v>2.0</v>
      </c>
      <c r="F541" s="7">
        <v>3273.78</v>
      </c>
      <c r="G541" s="2" t="s">
        <v>1693</v>
      </c>
      <c r="H541" s="2" t="s">
        <v>1694</v>
      </c>
      <c r="I541" s="2" t="s">
        <v>1695</v>
      </c>
    </row>
    <row r="542" ht="15.75" customHeight="1">
      <c r="A542" s="1">
        <v>45633.0</v>
      </c>
      <c r="B542" s="3" t="s">
        <v>74</v>
      </c>
      <c r="C542" s="2" t="s">
        <v>161</v>
      </c>
      <c r="D542" s="6">
        <v>979.2</v>
      </c>
      <c r="E542" s="6">
        <v>5.0</v>
      </c>
      <c r="F542" s="7">
        <v>4896.0</v>
      </c>
      <c r="G542" s="2" t="s">
        <v>1696</v>
      </c>
      <c r="H542" s="2" t="s">
        <v>1697</v>
      </c>
      <c r="I542" s="2" t="s">
        <v>1698</v>
      </c>
    </row>
    <row r="543" ht="15.75" customHeight="1">
      <c r="A543" s="1">
        <v>45633.0</v>
      </c>
      <c r="B543" s="3" t="s">
        <v>29</v>
      </c>
      <c r="C543" s="2" t="s">
        <v>316</v>
      </c>
      <c r="D543" s="6">
        <v>1566.88</v>
      </c>
      <c r="E543" s="6">
        <v>3.0</v>
      </c>
      <c r="F543" s="7">
        <v>4700.64</v>
      </c>
      <c r="G543" s="2" t="s">
        <v>1699</v>
      </c>
      <c r="H543" s="2" t="s">
        <v>1700</v>
      </c>
      <c r="I543" s="2" t="s">
        <v>1701</v>
      </c>
    </row>
    <row r="544" ht="15.75" customHeight="1">
      <c r="A544" s="1">
        <v>45634.0</v>
      </c>
      <c r="B544" s="3" t="s">
        <v>9</v>
      </c>
      <c r="C544" s="2" t="s">
        <v>279</v>
      </c>
      <c r="D544" s="6">
        <v>1397.7</v>
      </c>
      <c r="E544" s="6">
        <v>3.0</v>
      </c>
      <c r="F544" s="7">
        <v>4193.1</v>
      </c>
      <c r="G544" s="2" t="s">
        <v>1702</v>
      </c>
      <c r="H544" s="2" t="s">
        <v>1703</v>
      </c>
      <c r="I544" s="2" t="s">
        <v>1704</v>
      </c>
    </row>
    <row r="545" ht="15.75" customHeight="1">
      <c r="A545" s="1">
        <v>45634.0</v>
      </c>
      <c r="B545" s="3" t="s">
        <v>9</v>
      </c>
      <c r="C545" s="2" t="s">
        <v>10</v>
      </c>
      <c r="D545" s="6">
        <v>155.7</v>
      </c>
      <c r="E545" s="6">
        <v>5.0</v>
      </c>
      <c r="F545" s="7">
        <v>778.5</v>
      </c>
      <c r="G545" s="2" t="s">
        <v>1705</v>
      </c>
      <c r="H545" s="2" t="s">
        <v>1706</v>
      </c>
      <c r="I545" s="2" t="s">
        <v>1707</v>
      </c>
    </row>
    <row r="546" ht="15.75" customHeight="1">
      <c r="A546" s="1">
        <v>45635.0</v>
      </c>
      <c r="B546" s="3" t="s">
        <v>29</v>
      </c>
      <c r="C546" s="2" t="s">
        <v>370</v>
      </c>
      <c r="D546" s="6">
        <v>166.45</v>
      </c>
      <c r="E546" s="6">
        <v>5.0</v>
      </c>
      <c r="F546" s="7">
        <v>832.25</v>
      </c>
      <c r="G546" s="2" t="s">
        <v>1708</v>
      </c>
      <c r="H546" s="2" t="s">
        <v>1709</v>
      </c>
      <c r="I546" s="2" t="s">
        <v>1710</v>
      </c>
    </row>
    <row r="547" ht="15.75" customHeight="1">
      <c r="A547" s="1">
        <v>45635.0</v>
      </c>
      <c r="B547" s="2" t="s">
        <v>34</v>
      </c>
      <c r="C547" s="2" t="s">
        <v>92</v>
      </c>
      <c r="D547" s="6">
        <v>1744.95</v>
      </c>
      <c r="E547" s="6">
        <v>2.0</v>
      </c>
      <c r="F547" s="7">
        <v>3489.9</v>
      </c>
      <c r="G547" s="2" t="s">
        <v>1711</v>
      </c>
      <c r="H547" s="2" t="s">
        <v>1712</v>
      </c>
      <c r="I547" s="2" t="s">
        <v>1713</v>
      </c>
    </row>
    <row r="548" ht="15.75" customHeight="1">
      <c r="A548" s="1">
        <v>45635.0</v>
      </c>
      <c r="B548" s="2" t="s">
        <v>57</v>
      </c>
      <c r="C548" s="2" t="s">
        <v>62</v>
      </c>
      <c r="D548" s="6">
        <v>1865.55</v>
      </c>
      <c r="E548" s="6">
        <v>2.0</v>
      </c>
      <c r="F548" s="7">
        <v>3731.1</v>
      </c>
      <c r="G548" s="2" t="s">
        <v>1714</v>
      </c>
      <c r="H548" s="2" t="s">
        <v>1715</v>
      </c>
      <c r="I548" s="2" t="s">
        <v>1716</v>
      </c>
    </row>
    <row r="549" ht="15.75" customHeight="1">
      <c r="A549" s="1">
        <v>45635.0</v>
      </c>
      <c r="B549" s="2" t="s">
        <v>57</v>
      </c>
      <c r="C549" s="2" t="s">
        <v>22</v>
      </c>
      <c r="D549" s="6">
        <v>787.78</v>
      </c>
      <c r="E549" s="6">
        <v>3.0</v>
      </c>
      <c r="F549" s="7">
        <v>2363.34</v>
      </c>
      <c r="G549" s="2" t="s">
        <v>1717</v>
      </c>
      <c r="H549" s="2" t="s">
        <v>1718</v>
      </c>
      <c r="I549" s="2" t="s">
        <v>1719</v>
      </c>
    </row>
    <row r="550" ht="15.75" customHeight="1">
      <c r="A550" s="1">
        <v>45636.0</v>
      </c>
      <c r="B550" s="3" t="s">
        <v>29</v>
      </c>
      <c r="C550" s="2" t="s">
        <v>130</v>
      </c>
      <c r="D550" s="6">
        <v>1001.63</v>
      </c>
      <c r="E550" s="6">
        <v>3.0</v>
      </c>
      <c r="F550" s="7">
        <v>3004.89</v>
      </c>
      <c r="G550" s="2" t="s">
        <v>1720</v>
      </c>
      <c r="H550" s="2" t="s">
        <v>1721</v>
      </c>
      <c r="I550" s="2" t="s">
        <v>1722</v>
      </c>
    </row>
    <row r="551" ht="15.75" customHeight="1">
      <c r="A551" s="1">
        <v>45636.0</v>
      </c>
      <c r="B551" s="3" t="s">
        <v>9</v>
      </c>
      <c r="C551" s="2" t="s">
        <v>161</v>
      </c>
      <c r="D551" s="6">
        <v>1708.81</v>
      </c>
      <c r="E551" s="6">
        <v>1.0</v>
      </c>
      <c r="F551" s="7">
        <v>1708.81</v>
      </c>
      <c r="G551" s="2" t="s">
        <v>1723</v>
      </c>
      <c r="H551" s="2" t="s">
        <v>1724</v>
      </c>
      <c r="I551" s="2" t="s">
        <v>1725</v>
      </c>
    </row>
    <row r="552" ht="15.75" customHeight="1">
      <c r="A552" s="1">
        <v>45636.0</v>
      </c>
      <c r="B552" s="3" t="s">
        <v>14</v>
      </c>
      <c r="C552" s="2" t="s">
        <v>279</v>
      </c>
      <c r="D552" s="6">
        <v>1402.2</v>
      </c>
      <c r="E552" s="6">
        <v>5.0</v>
      </c>
      <c r="F552" s="7">
        <v>7011.0</v>
      </c>
      <c r="G552" s="2" t="s">
        <v>1726</v>
      </c>
      <c r="H552" s="2" t="s">
        <v>1727</v>
      </c>
      <c r="I552" s="2" t="s">
        <v>1728</v>
      </c>
    </row>
    <row r="553" ht="15.75" customHeight="1">
      <c r="A553" s="1">
        <v>45636.0</v>
      </c>
      <c r="B553" s="2" t="s">
        <v>34</v>
      </c>
      <c r="C553" s="2" t="s">
        <v>53</v>
      </c>
      <c r="D553" s="6">
        <v>85.19</v>
      </c>
      <c r="E553" s="6">
        <v>1.0</v>
      </c>
      <c r="F553" s="7">
        <v>85.19</v>
      </c>
      <c r="G553" s="2" t="s">
        <v>1729</v>
      </c>
      <c r="H553" s="2" t="s">
        <v>1730</v>
      </c>
      <c r="I553" s="2" t="s">
        <v>1731</v>
      </c>
    </row>
    <row r="554" ht="15.75" customHeight="1">
      <c r="A554" s="1">
        <v>45636.0</v>
      </c>
      <c r="B554" s="3" t="s">
        <v>9</v>
      </c>
      <c r="C554" s="2" t="s">
        <v>396</v>
      </c>
      <c r="D554" s="6">
        <v>240.45</v>
      </c>
      <c r="E554" s="6">
        <v>4.0</v>
      </c>
      <c r="F554" s="7">
        <v>961.8</v>
      </c>
      <c r="G554" s="2" t="s">
        <v>1732</v>
      </c>
      <c r="H554" s="2" t="s">
        <v>1733</v>
      </c>
      <c r="I554" s="2" t="s">
        <v>1734</v>
      </c>
    </row>
    <row r="555" ht="15.75" customHeight="1">
      <c r="A555" s="1">
        <v>45636.0</v>
      </c>
      <c r="B555" s="3" t="s">
        <v>74</v>
      </c>
      <c r="C555" s="2" t="s">
        <v>312</v>
      </c>
      <c r="D555" s="6">
        <v>1284.54</v>
      </c>
      <c r="E555" s="6">
        <v>3.0</v>
      </c>
      <c r="F555" s="7">
        <v>3853.62</v>
      </c>
      <c r="G555" s="2" t="s">
        <v>1735</v>
      </c>
      <c r="H555" s="2" t="s">
        <v>1736</v>
      </c>
      <c r="I555" s="2" t="s">
        <v>1737</v>
      </c>
    </row>
    <row r="556" ht="15.75" customHeight="1">
      <c r="A556" s="1">
        <v>45636.0</v>
      </c>
      <c r="B556" s="3" t="s">
        <v>74</v>
      </c>
      <c r="C556" s="2" t="s">
        <v>289</v>
      </c>
      <c r="D556" s="6">
        <v>974.06</v>
      </c>
      <c r="E556" s="6">
        <v>5.0</v>
      </c>
      <c r="F556" s="7">
        <v>4870.3</v>
      </c>
      <c r="G556" s="2" t="s">
        <v>1738</v>
      </c>
      <c r="H556" s="2" t="s">
        <v>1739</v>
      </c>
      <c r="I556" s="2" t="s">
        <v>1740</v>
      </c>
    </row>
    <row r="557" ht="15.75" customHeight="1">
      <c r="A557" s="1">
        <v>45636.0</v>
      </c>
      <c r="B557" s="2" t="s">
        <v>57</v>
      </c>
      <c r="C557" s="2" t="s">
        <v>256</v>
      </c>
      <c r="D557" s="6">
        <v>1808.15</v>
      </c>
      <c r="E557" s="6">
        <v>2.0</v>
      </c>
      <c r="F557" s="7">
        <v>3616.3</v>
      </c>
      <c r="G557" s="2" t="s">
        <v>1741</v>
      </c>
      <c r="H557" s="2" t="s">
        <v>1742</v>
      </c>
      <c r="I557" s="2" t="s">
        <v>1743</v>
      </c>
    </row>
    <row r="558" ht="15.75" customHeight="1">
      <c r="A558" s="1">
        <v>45636.0</v>
      </c>
      <c r="B558" s="2" t="s">
        <v>57</v>
      </c>
      <c r="C558" s="2" t="s">
        <v>187</v>
      </c>
      <c r="D558" s="6">
        <v>1969.69</v>
      </c>
      <c r="E558" s="6">
        <v>4.0</v>
      </c>
      <c r="F558" s="7">
        <v>7878.76</v>
      </c>
      <c r="G558" s="2" t="s">
        <v>1744</v>
      </c>
      <c r="H558" s="2" t="s">
        <v>1745</v>
      </c>
      <c r="I558" s="8" t="s">
        <v>1746</v>
      </c>
    </row>
    <row r="559" ht="15.75" customHeight="1">
      <c r="A559" s="1">
        <v>45636.0</v>
      </c>
      <c r="B559" s="2" t="s">
        <v>34</v>
      </c>
      <c r="C559" s="2" t="s">
        <v>230</v>
      </c>
      <c r="D559" s="6">
        <v>2351.13</v>
      </c>
      <c r="E559" s="6">
        <v>1.0</v>
      </c>
      <c r="F559" s="7">
        <v>2351.13</v>
      </c>
      <c r="G559" s="2" t="s">
        <v>1747</v>
      </c>
      <c r="H559" s="2" t="s">
        <v>1748</v>
      </c>
      <c r="I559" s="2" t="s">
        <v>1749</v>
      </c>
    </row>
    <row r="560" ht="15.75" customHeight="1">
      <c r="A560" s="1">
        <v>45636.0</v>
      </c>
      <c r="B560" s="3" t="s">
        <v>29</v>
      </c>
      <c r="C560" s="2" t="s">
        <v>169</v>
      </c>
      <c r="D560" s="6">
        <v>173.92</v>
      </c>
      <c r="E560" s="6">
        <v>3.0</v>
      </c>
      <c r="F560" s="7">
        <v>521.76</v>
      </c>
      <c r="G560" s="2" t="s">
        <v>1750</v>
      </c>
      <c r="H560" s="2" t="s">
        <v>1751</v>
      </c>
      <c r="I560" s="2" t="s">
        <v>1752</v>
      </c>
    </row>
    <row r="561" ht="15.75" customHeight="1">
      <c r="A561" s="1">
        <v>45637.0</v>
      </c>
      <c r="B561" s="3" t="s">
        <v>14</v>
      </c>
      <c r="C561" s="2" t="s">
        <v>35</v>
      </c>
      <c r="D561" s="6">
        <v>817.03</v>
      </c>
      <c r="E561" s="6">
        <v>2.0</v>
      </c>
      <c r="F561" s="7">
        <v>1634.06</v>
      </c>
      <c r="G561" s="2" t="s">
        <v>1753</v>
      </c>
      <c r="H561" s="2" t="s">
        <v>1754</v>
      </c>
      <c r="I561" s="2" t="s">
        <v>1755</v>
      </c>
    </row>
    <row r="562" ht="15.75" customHeight="1">
      <c r="A562" s="1">
        <v>45637.0</v>
      </c>
      <c r="B562" s="2" t="s">
        <v>34</v>
      </c>
      <c r="C562" s="2" t="s">
        <v>75</v>
      </c>
      <c r="D562" s="6">
        <v>1332.48</v>
      </c>
      <c r="E562" s="6">
        <v>5.0</v>
      </c>
      <c r="F562" s="7">
        <v>6662.4</v>
      </c>
      <c r="G562" s="2" t="s">
        <v>1756</v>
      </c>
      <c r="H562" s="2" t="s">
        <v>1757</v>
      </c>
      <c r="I562" s="2" t="s">
        <v>1758</v>
      </c>
    </row>
    <row r="563" ht="15.75" customHeight="1">
      <c r="A563" s="1">
        <v>45637.0</v>
      </c>
      <c r="B563" s="3" t="s">
        <v>14</v>
      </c>
      <c r="C563" s="2" t="s">
        <v>279</v>
      </c>
      <c r="D563" s="6">
        <v>273.29</v>
      </c>
      <c r="E563" s="6">
        <v>5.0</v>
      </c>
      <c r="F563" s="7">
        <v>1366.45</v>
      </c>
      <c r="G563" s="2" t="s">
        <v>1759</v>
      </c>
      <c r="H563" s="2" t="s">
        <v>1760</v>
      </c>
      <c r="I563" s="2" t="s">
        <v>1761</v>
      </c>
    </row>
    <row r="564" ht="15.75" customHeight="1">
      <c r="A564" s="1">
        <v>45637.0</v>
      </c>
      <c r="B564" s="3" t="s">
        <v>9</v>
      </c>
      <c r="C564" s="2" t="s">
        <v>75</v>
      </c>
      <c r="D564" s="6">
        <v>782.8</v>
      </c>
      <c r="E564" s="6">
        <v>2.0</v>
      </c>
      <c r="F564" s="7">
        <v>1565.6</v>
      </c>
      <c r="G564" s="2" t="s">
        <v>1762</v>
      </c>
      <c r="H564" s="2" t="s">
        <v>1763</v>
      </c>
      <c r="I564" s="2" t="s">
        <v>1764</v>
      </c>
    </row>
    <row r="565" ht="15.75" customHeight="1">
      <c r="A565" s="1">
        <v>45637.0</v>
      </c>
      <c r="B565" s="2" t="s">
        <v>57</v>
      </c>
      <c r="C565" s="2" t="s">
        <v>366</v>
      </c>
      <c r="D565" s="6">
        <v>1198.31</v>
      </c>
      <c r="E565" s="6">
        <v>3.0</v>
      </c>
      <c r="F565" s="7">
        <v>3594.93</v>
      </c>
      <c r="G565" s="2" t="s">
        <v>1765</v>
      </c>
      <c r="H565" s="2" t="s">
        <v>1766</v>
      </c>
      <c r="I565" s="2" t="s">
        <v>1767</v>
      </c>
    </row>
    <row r="566" ht="15.75" customHeight="1">
      <c r="A566" s="1">
        <v>45637.0</v>
      </c>
      <c r="B566" s="2" t="s">
        <v>34</v>
      </c>
      <c r="C566" s="2" t="s">
        <v>88</v>
      </c>
      <c r="D566" s="6">
        <v>569.56</v>
      </c>
      <c r="E566" s="6">
        <v>4.0</v>
      </c>
      <c r="F566" s="7">
        <v>2278.24</v>
      </c>
      <c r="G566" s="2" t="s">
        <v>1768</v>
      </c>
      <c r="H566" s="2" t="s">
        <v>1769</v>
      </c>
      <c r="I566" s="2" t="s">
        <v>1770</v>
      </c>
    </row>
    <row r="567" ht="15.75" customHeight="1">
      <c r="A567" s="1">
        <v>45637.0</v>
      </c>
      <c r="B567" s="3" t="s">
        <v>14</v>
      </c>
      <c r="C567" s="2" t="s">
        <v>22</v>
      </c>
      <c r="D567" s="6">
        <v>1672.13</v>
      </c>
      <c r="E567" s="6">
        <v>4.0</v>
      </c>
      <c r="F567" s="7">
        <v>6688.52</v>
      </c>
      <c r="G567" s="2" t="s">
        <v>1771</v>
      </c>
      <c r="H567" s="2" t="s">
        <v>1772</v>
      </c>
      <c r="I567" s="2" t="s">
        <v>1773</v>
      </c>
    </row>
    <row r="568" ht="15.75" customHeight="1">
      <c r="A568" s="1">
        <v>45637.0</v>
      </c>
      <c r="B568" s="3" t="s">
        <v>29</v>
      </c>
      <c r="C568" s="2" t="s">
        <v>169</v>
      </c>
      <c r="D568" s="6">
        <v>1603.02</v>
      </c>
      <c r="E568" s="6">
        <v>4.0</v>
      </c>
      <c r="F568" s="7">
        <v>6412.08</v>
      </c>
      <c r="G568" s="2" t="s">
        <v>1774</v>
      </c>
      <c r="H568" s="2" t="s">
        <v>1775</v>
      </c>
      <c r="I568" s="2" t="s">
        <v>1776</v>
      </c>
    </row>
    <row r="569" ht="15.75" customHeight="1">
      <c r="A569" s="1">
        <v>45637.0</v>
      </c>
      <c r="B569" s="3" t="s">
        <v>74</v>
      </c>
      <c r="C569" s="2" t="s">
        <v>230</v>
      </c>
      <c r="D569" s="6">
        <v>1076.71</v>
      </c>
      <c r="E569" s="6">
        <v>3.0</v>
      </c>
      <c r="F569" s="7">
        <v>3230.13</v>
      </c>
      <c r="G569" s="2" t="s">
        <v>1777</v>
      </c>
      <c r="H569" s="2" t="s">
        <v>1778</v>
      </c>
      <c r="I569" s="2" t="s">
        <v>1779</v>
      </c>
    </row>
    <row r="570" ht="15.75" customHeight="1">
      <c r="A570" s="1">
        <v>45637.0</v>
      </c>
      <c r="B570" s="2" t="s">
        <v>57</v>
      </c>
      <c r="C570" s="2" t="s">
        <v>130</v>
      </c>
      <c r="D570" s="6">
        <v>1203.25</v>
      </c>
      <c r="E570" s="6">
        <v>4.0</v>
      </c>
      <c r="F570" s="7">
        <v>4813.0</v>
      </c>
      <c r="G570" s="2" t="s">
        <v>1780</v>
      </c>
      <c r="H570" s="2" t="s">
        <v>1781</v>
      </c>
      <c r="I570" s="2" t="s">
        <v>1782</v>
      </c>
    </row>
    <row r="571" ht="15.75" customHeight="1">
      <c r="A571" s="1">
        <v>45638.0</v>
      </c>
      <c r="B571" s="3" t="s">
        <v>29</v>
      </c>
      <c r="C571" s="2" t="s">
        <v>161</v>
      </c>
      <c r="D571" s="6">
        <v>1247.13</v>
      </c>
      <c r="E571" s="6">
        <v>5.0</v>
      </c>
      <c r="F571" s="7">
        <v>6235.65</v>
      </c>
      <c r="G571" s="2" t="s">
        <v>1783</v>
      </c>
      <c r="H571" s="2" t="s">
        <v>1784</v>
      </c>
      <c r="I571" s="2" t="s">
        <v>1785</v>
      </c>
    </row>
    <row r="572" ht="15.75" customHeight="1">
      <c r="A572" s="1">
        <v>45638.0</v>
      </c>
      <c r="B572" s="3" t="s">
        <v>9</v>
      </c>
      <c r="C572" s="2" t="s">
        <v>316</v>
      </c>
      <c r="D572" s="6">
        <v>153.47</v>
      </c>
      <c r="E572" s="6">
        <v>3.0</v>
      </c>
      <c r="F572" s="7">
        <v>460.41</v>
      </c>
      <c r="G572" s="2" t="s">
        <v>1786</v>
      </c>
      <c r="H572" s="2" t="s">
        <v>1787</v>
      </c>
      <c r="I572" s="2" t="s">
        <v>1788</v>
      </c>
    </row>
    <row r="573" ht="15.75" customHeight="1">
      <c r="A573" s="1">
        <v>45638.0</v>
      </c>
      <c r="B573" s="3" t="s">
        <v>29</v>
      </c>
      <c r="C573" s="2" t="s">
        <v>312</v>
      </c>
      <c r="D573" s="6">
        <v>834.63</v>
      </c>
      <c r="E573" s="6">
        <v>4.0</v>
      </c>
      <c r="F573" s="7">
        <v>3338.52</v>
      </c>
      <c r="G573" s="2" t="s">
        <v>1789</v>
      </c>
      <c r="H573" s="2" t="s">
        <v>1790</v>
      </c>
      <c r="I573" s="2" t="s">
        <v>1791</v>
      </c>
    </row>
    <row r="574" ht="15.75" customHeight="1">
      <c r="A574" s="1">
        <v>45638.0</v>
      </c>
      <c r="B574" s="2" t="s">
        <v>57</v>
      </c>
      <c r="C574" s="2" t="s">
        <v>58</v>
      </c>
      <c r="D574" s="6">
        <v>1268.59</v>
      </c>
      <c r="E574" s="6">
        <v>4.0</v>
      </c>
      <c r="F574" s="7">
        <v>5074.36</v>
      </c>
      <c r="G574" s="2" t="s">
        <v>1792</v>
      </c>
      <c r="H574" s="2" t="s">
        <v>1793</v>
      </c>
      <c r="I574" s="2" t="s">
        <v>1794</v>
      </c>
    </row>
    <row r="575" ht="15.75" customHeight="1">
      <c r="A575" s="1">
        <v>45638.0</v>
      </c>
      <c r="B575" s="2" t="s">
        <v>57</v>
      </c>
      <c r="C575" s="2" t="s">
        <v>115</v>
      </c>
      <c r="D575" s="6">
        <v>181.16</v>
      </c>
      <c r="E575" s="6">
        <v>4.0</v>
      </c>
      <c r="F575" s="7">
        <v>724.64</v>
      </c>
      <c r="G575" s="2" t="s">
        <v>1795</v>
      </c>
      <c r="H575" s="2" t="s">
        <v>1796</v>
      </c>
      <c r="I575" s="2" t="s">
        <v>1797</v>
      </c>
    </row>
    <row r="576" ht="15.75" customHeight="1">
      <c r="A576" s="1">
        <v>45639.0</v>
      </c>
      <c r="B576" s="3" t="s">
        <v>9</v>
      </c>
      <c r="C576" s="2" t="s">
        <v>79</v>
      </c>
      <c r="D576" s="6">
        <v>934.1</v>
      </c>
      <c r="E576" s="6">
        <v>2.0</v>
      </c>
      <c r="F576" s="7">
        <v>1868.2</v>
      </c>
      <c r="G576" s="2" t="s">
        <v>1798</v>
      </c>
      <c r="H576" s="2" t="s">
        <v>1799</v>
      </c>
      <c r="I576" s="2" t="s">
        <v>1800</v>
      </c>
    </row>
    <row r="577" ht="15.75" customHeight="1">
      <c r="A577" s="1">
        <v>45639.0</v>
      </c>
      <c r="B577" s="3" t="s">
        <v>9</v>
      </c>
      <c r="C577" s="2" t="s">
        <v>427</v>
      </c>
      <c r="D577" s="6">
        <v>1566.36</v>
      </c>
      <c r="E577" s="6">
        <v>5.0</v>
      </c>
      <c r="F577" s="7">
        <v>7831.8</v>
      </c>
      <c r="G577" s="2" t="s">
        <v>1801</v>
      </c>
      <c r="H577" s="2" t="s">
        <v>1802</v>
      </c>
      <c r="I577" s="2" t="s">
        <v>1803</v>
      </c>
    </row>
    <row r="578" ht="15.75" customHeight="1">
      <c r="A578" s="1">
        <v>45639.0</v>
      </c>
      <c r="B578" s="2" t="s">
        <v>34</v>
      </c>
      <c r="C578" s="2" t="s">
        <v>161</v>
      </c>
      <c r="D578" s="6">
        <v>288.64</v>
      </c>
      <c r="E578" s="6">
        <v>1.0</v>
      </c>
      <c r="F578" s="7">
        <v>288.64</v>
      </c>
      <c r="G578" s="2" t="s">
        <v>1804</v>
      </c>
      <c r="H578" s="2" t="s">
        <v>1805</v>
      </c>
      <c r="I578" s="2" t="s">
        <v>1806</v>
      </c>
    </row>
    <row r="579" ht="15.75" customHeight="1">
      <c r="A579" s="1">
        <v>45639.0</v>
      </c>
      <c r="B579" s="2" t="s">
        <v>57</v>
      </c>
      <c r="C579" s="2" t="s">
        <v>252</v>
      </c>
      <c r="D579" s="6">
        <v>1164.16</v>
      </c>
      <c r="E579" s="6">
        <v>4.0</v>
      </c>
      <c r="F579" s="7">
        <v>4656.64</v>
      </c>
      <c r="G579" s="2" t="s">
        <v>1807</v>
      </c>
      <c r="H579" s="2" t="s">
        <v>1808</v>
      </c>
      <c r="I579" s="2" t="s">
        <v>1809</v>
      </c>
    </row>
    <row r="580" ht="15.75" customHeight="1">
      <c r="A580" s="1">
        <v>45639.0</v>
      </c>
      <c r="B580" s="3" t="s">
        <v>14</v>
      </c>
      <c r="C580" s="2" t="s">
        <v>289</v>
      </c>
      <c r="D580" s="6">
        <v>494.57</v>
      </c>
      <c r="E580" s="6">
        <v>1.0</v>
      </c>
      <c r="F580" s="7">
        <v>494.57</v>
      </c>
      <c r="G580" s="2" t="s">
        <v>1810</v>
      </c>
      <c r="H580" s="2" t="s">
        <v>1811</v>
      </c>
      <c r="I580" s="2" t="s">
        <v>1812</v>
      </c>
    </row>
    <row r="581" ht="15.75" customHeight="1">
      <c r="A581" s="1">
        <v>45639.0</v>
      </c>
      <c r="B581" s="2" t="s">
        <v>57</v>
      </c>
      <c r="C581" s="2" t="s">
        <v>88</v>
      </c>
      <c r="D581" s="6">
        <v>2145.76</v>
      </c>
      <c r="E581" s="6">
        <v>5.0</v>
      </c>
      <c r="F581" s="7">
        <v>10728.8</v>
      </c>
      <c r="G581" s="2" t="s">
        <v>1813</v>
      </c>
      <c r="H581" s="2" t="s">
        <v>1814</v>
      </c>
      <c r="I581" s="2" t="s">
        <v>1815</v>
      </c>
    </row>
    <row r="582" ht="15.75" customHeight="1">
      <c r="A582" s="1">
        <v>45640.0</v>
      </c>
      <c r="B582" s="3" t="s">
        <v>74</v>
      </c>
      <c r="C582" s="2" t="s">
        <v>396</v>
      </c>
      <c r="D582" s="6">
        <v>2116.69</v>
      </c>
      <c r="E582" s="6">
        <v>2.0</v>
      </c>
      <c r="F582" s="7">
        <v>4233.38</v>
      </c>
      <c r="G582" s="2" t="s">
        <v>1816</v>
      </c>
      <c r="H582" s="2" t="s">
        <v>1817</v>
      </c>
      <c r="I582" s="2" t="s">
        <v>1818</v>
      </c>
    </row>
    <row r="583" ht="15.75" customHeight="1">
      <c r="A583" s="1">
        <v>45640.0</v>
      </c>
      <c r="B583" s="3" t="s">
        <v>9</v>
      </c>
      <c r="C583" s="2" t="s">
        <v>183</v>
      </c>
      <c r="D583" s="6">
        <v>2312.52</v>
      </c>
      <c r="E583" s="6">
        <v>1.0</v>
      </c>
      <c r="F583" s="7">
        <v>2312.52</v>
      </c>
      <c r="G583" s="2" t="s">
        <v>1819</v>
      </c>
      <c r="H583" s="2" t="s">
        <v>1820</v>
      </c>
      <c r="I583" s="2" t="s">
        <v>1821</v>
      </c>
    </row>
    <row r="584" ht="15.75" customHeight="1">
      <c r="A584" s="1">
        <v>45640.0</v>
      </c>
      <c r="B584" s="2" t="s">
        <v>34</v>
      </c>
      <c r="C584" s="2" t="s">
        <v>151</v>
      </c>
      <c r="D584" s="6">
        <v>516.02</v>
      </c>
      <c r="E584" s="6">
        <v>4.0</v>
      </c>
      <c r="F584" s="7">
        <v>2064.08</v>
      </c>
      <c r="G584" s="2" t="s">
        <v>1822</v>
      </c>
      <c r="H584" s="2" t="s">
        <v>1823</v>
      </c>
      <c r="I584" s="2" t="s">
        <v>1824</v>
      </c>
    </row>
    <row r="585" ht="15.75" customHeight="1">
      <c r="A585" s="1">
        <v>45640.0</v>
      </c>
      <c r="B585" s="3" t="s">
        <v>14</v>
      </c>
      <c r="C585" s="2" t="s">
        <v>308</v>
      </c>
      <c r="D585" s="6">
        <v>177.74</v>
      </c>
      <c r="E585" s="6">
        <v>4.0</v>
      </c>
      <c r="F585" s="7">
        <v>710.96</v>
      </c>
      <c r="G585" s="2" t="s">
        <v>1825</v>
      </c>
      <c r="H585" s="2" t="s">
        <v>1826</v>
      </c>
      <c r="I585" s="2" t="s">
        <v>1827</v>
      </c>
    </row>
    <row r="586" ht="15.75" customHeight="1">
      <c r="A586" s="1">
        <v>45640.0</v>
      </c>
      <c r="B586" s="3" t="s">
        <v>29</v>
      </c>
      <c r="C586" s="2" t="s">
        <v>79</v>
      </c>
      <c r="D586" s="6">
        <v>2083.24</v>
      </c>
      <c r="E586" s="6">
        <v>1.0</v>
      </c>
      <c r="F586" s="7">
        <v>2083.24</v>
      </c>
      <c r="G586" s="2" t="s">
        <v>1828</v>
      </c>
      <c r="H586" s="2" t="s">
        <v>1829</v>
      </c>
      <c r="I586" s="2" t="s">
        <v>1830</v>
      </c>
    </row>
    <row r="587" ht="15.75" customHeight="1">
      <c r="A587" s="1">
        <v>45640.0</v>
      </c>
      <c r="B587" s="3" t="s">
        <v>29</v>
      </c>
      <c r="C587" s="2" t="s">
        <v>49</v>
      </c>
      <c r="D587" s="6">
        <v>818.61</v>
      </c>
      <c r="E587" s="6">
        <v>3.0</v>
      </c>
      <c r="F587" s="7">
        <v>2455.83</v>
      </c>
      <c r="G587" s="2" t="s">
        <v>1831</v>
      </c>
      <c r="H587" s="2" t="s">
        <v>1832</v>
      </c>
      <c r="I587" s="2" t="s">
        <v>1833</v>
      </c>
    </row>
    <row r="588" ht="15.75" customHeight="1">
      <c r="A588" s="1">
        <v>45640.0</v>
      </c>
      <c r="B588" s="3" t="s">
        <v>9</v>
      </c>
      <c r="C588" s="2" t="s">
        <v>15</v>
      </c>
      <c r="D588" s="6">
        <v>2389.97</v>
      </c>
      <c r="E588" s="6">
        <v>3.0</v>
      </c>
      <c r="F588" s="7">
        <v>7169.91</v>
      </c>
      <c r="G588" s="2" t="s">
        <v>1834</v>
      </c>
      <c r="H588" s="2" t="s">
        <v>1835</v>
      </c>
      <c r="I588" s="2" t="s">
        <v>1836</v>
      </c>
    </row>
    <row r="589" ht="15.75" customHeight="1">
      <c r="A589" s="1">
        <v>45640.0</v>
      </c>
      <c r="B589" s="2" t="s">
        <v>57</v>
      </c>
      <c r="C589" s="2" t="s">
        <v>396</v>
      </c>
      <c r="D589" s="6">
        <v>997.09</v>
      </c>
      <c r="E589" s="6">
        <v>2.0</v>
      </c>
      <c r="F589" s="7">
        <v>1994.18</v>
      </c>
      <c r="G589" s="2" t="s">
        <v>1837</v>
      </c>
      <c r="H589" s="2" t="s">
        <v>1838</v>
      </c>
      <c r="I589" s="2" t="s">
        <v>1839</v>
      </c>
    </row>
    <row r="590" ht="15.75" customHeight="1">
      <c r="A590" s="1">
        <v>45640.0</v>
      </c>
      <c r="B590" s="3" t="s">
        <v>29</v>
      </c>
      <c r="C590" s="2" t="s">
        <v>230</v>
      </c>
      <c r="D590" s="6">
        <v>1939.56</v>
      </c>
      <c r="E590" s="6">
        <v>5.0</v>
      </c>
      <c r="F590" s="7">
        <v>9697.8</v>
      </c>
      <c r="G590" s="2" t="s">
        <v>1840</v>
      </c>
      <c r="H590" s="2" t="s">
        <v>1841</v>
      </c>
      <c r="I590" s="2" t="s">
        <v>1842</v>
      </c>
    </row>
    <row r="591" ht="15.75" customHeight="1">
      <c r="A591" s="1">
        <v>45641.0</v>
      </c>
      <c r="B591" s="3" t="s">
        <v>9</v>
      </c>
      <c r="C591" s="2" t="s">
        <v>92</v>
      </c>
      <c r="D591" s="6">
        <v>787.6</v>
      </c>
      <c r="E591" s="6">
        <v>1.0</v>
      </c>
      <c r="F591" s="7">
        <v>787.6</v>
      </c>
      <c r="G591" s="2" t="s">
        <v>1843</v>
      </c>
      <c r="H591" s="2" t="s">
        <v>1844</v>
      </c>
      <c r="I591" s="2" t="s">
        <v>1845</v>
      </c>
    </row>
    <row r="592" ht="15.75" customHeight="1">
      <c r="A592" s="1">
        <v>45641.0</v>
      </c>
      <c r="B592" s="3" t="s">
        <v>9</v>
      </c>
      <c r="C592" s="2" t="s">
        <v>115</v>
      </c>
      <c r="D592" s="6">
        <v>1710.52</v>
      </c>
      <c r="E592" s="6">
        <v>2.0</v>
      </c>
      <c r="F592" s="7">
        <v>3421.04</v>
      </c>
      <c r="G592" s="2" t="s">
        <v>1846</v>
      </c>
      <c r="H592" s="2" t="s">
        <v>1847</v>
      </c>
      <c r="I592" s="2" t="s">
        <v>1848</v>
      </c>
    </row>
    <row r="593" ht="15.75" customHeight="1">
      <c r="A593" s="1">
        <v>45641.0</v>
      </c>
      <c r="B593" s="2" t="s">
        <v>57</v>
      </c>
      <c r="C593" s="2" t="s">
        <v>341</v>
      </c>
      <c r="D593" s="6">
        <v>817.31</v>
      </c>
      <c r="E593" s="6">
        <v>2.0</v>
      </c>
      <c r="F593" s="7">
        <v>1634.62</v>
      </c>
      <c r="G593" s="2" t="s">
        <v>1849</v>
      </c>
      <c r="H593" s="2" t="s">
        <v>1850</v>
      </c>
      <c r="I593" s="2" t="s">
        <v>1851</v>
      </c>
    </row>
    <row r="594" ht="15.75" customHeight="1">
      <c r="A594" s="1">
        <v>45641.0</v>
      </c>
      <c r="B594" s="3" t="s">
        <v>14</v>
      </c>
      <c r="C594" s="2" t="s">
        <v>165</v>
      </c>
      <c r="D594" s="6">
        <v>101.1</v>
      </c>
      <c r="E594" s="6">
        <v>3.0</v>
      </c>
      <c r="F594" s="7">
        <v>303.3</v>
      </c>
      <c r="G594" s="2" t="s">
        <v>1852</v>
      </c>
      <c r="H594" s="2" t="s">
        <v>1853</v>
      </c>
      <c r="I594" s="2" t="s">
        <v>1854</v>
      </c>
    </row>
    <row r="595" ht="15.75" customHeight="1">
      <c r="A595" s="1">
        <v>45641.0</v>
      </c>
      <c r="B595" s="3" t="s">
        <v>9</v>
      </c>
      <c r="C595" s="2" t="s">
        <v>222</v>
      </c>
      <c r="D595" s="6">
        <v>303.05</v>
      </c>
      <c r="E595" s="6">
        <v>1.0</v>
      </c>
      <c r="F595" s="7">
        <v>303.05</v>
      </c>
      <c r="G595" s="2" t="s">
        <v>1855</v>
      </c>
      <c r="H595" s="2" t="s">
        <v>1856</v>
      </c>
      <c r="I595" s="2" t="s">
        <v>1857</v>
      </c>
    </row>
    <row r="596" ht="15.75" customHeight="1">
      <c r="A596" s="1">
        <v>45641.0</v>
      </c>
      <c r="B596" s="3" t="s">
        <v>74</v>
      </c>
      <c r="C596" s="2" t="s">
        <v>187</v>
      </c>
      <c r="D596" s="6">
        <v>806.78</v>
      </c>
      <c r="E596" s="6">
        <v>1.0</v>
      </c>
      <c r="F596" s="7">
        <v>806.78</v>
      </c>
      <c r="G596" s="2" t="s">
        <v>1858</v>
      </c>
      <c r="H596" s="2" t="s">
        <v>1859</v>
      </c>
      <c r="I596" s="2" t="s">
        <v>1860</v>
      </c>
    </row>
    <row r="597" ht="15.75" customHeight="1">
      <c r="A597" s="1">
        <v>45641.0</v>
      </c>
      <c r="B597" s="2" t="s">
        <v>57</v>
      </c>
      <c r="C597" s="2" t="s">
        <v>130</v>
      </c>
      <c r="D597" s="6">
        <v>741.53</v>
      </c>
      <c r="E597" s="6">
        <v>3.0</v>
      </c>
      <c r="F597" s="7">
        <v>2224.59</v>
      </c>
      <c r="G597" s="2" t="s">
        <v>1861</v>
      </c>
      <c r="H597" s="2" t="s">
        <v>1862</v>
      </c>
      <c r="I597" s="2" t="s">
        <v>1863</v>
      </c>
    </row>
    <row r="598" ht="15.75" customHeight="1">
      <c r="A598" s="1">
        <v>45641.0</v>
      </c>
      <c r="B598" s="3" t="s">
        <v>29</v>
      </c>
      <c r="C598" s="2" t="s">
        <v>30</v>
      </c>
      <c r="D598" s="6">
        <v>1423.68</v>
      </c>
      <c r="E598" s="6">
        <v>1.0</v>
      </c>
      <c r="F598" s="7">
        <v>1423.68</v>
      </c>
      <c r="G598" s="2" t="s">
        <v>1864</v>
      </c>
      <c r="H598" s="2" t="s">
        <v>1865</v>
      </c>
      <c r="I598" s="2" t="s">
        <v>1866</v>
      </c>
    </row>
    <row r="599" ht="15.75" customHeight="1">
      <c r="A599" s="1">
        <v>45642.0</v>
      </c>
      <c r="B599" s="3" t="s">
        <v>9</v>
      </c>
      <c r="C599" s="2" t="s">
        <v>215</v>
      </c>
      <c r="D599" s="6">
        <v>658.01</v>
      </c>
      <c r="E599" s="6">
        <v>5.0</v>
      </c>
      <c r="F599" s="7">
        <v>3290.05</v>
      </c>
      <c r="G599" s="2" t="s">
        <v>1867</v>
      </c>
      <c r="H599" s="2" t="s">
        <v>1868</v>
      </c>
      <c r="I599" s="2" t="s">
        <v>1869</v>
      </c>
    </row>
    <row r="600" ht="15.75" customHeight="1">
      <c r="A600" s="1">
        <v>45642.0</v>
      </c>
      <c r="B600" s="2" t="s">
        <v>34</v>
      </c>
      <c r="C600" s="2" t="s">
        <v>151</v>
      </c>
      <c r="D600" s="6">
        <v>421.27</v>
      </c>
      <c r="E600" s="6">
        <v>4.0</v>
      </c>
      <c r="F600" s="7">
        <v>1685.08</v>
      </c>
      <c r="G600" s="2" t="s">
        <v>1870</v>
      </c>
      <c r="H600" s="2" t="s">
        <v>1871</v>
      </c>
      <c r="I600" s="2" t="s">
        <v>1872</v>
      </c>
    </row>
    <row r="601" ht="15.75" customHeight="1">
      <c r="A601" s="1">
        <v>45642.0</v>
      </c>
      <c r="B601" s="3" t="s">
        <v>74</v>
      </c>
      <c r="C601" s="2" t="s">
        <v>289</v>
      </c>
      <c r="D601" s="6">
        <v>814.63</v>
      </c>
      <c r="E601" s="6">
        <v>1.0</v>
      </c>
      <c r="F601" s="7">
        <v>814.63</v>
      </c>
      <c r="G601" s="2" t="s">
        <v>1873</v>
      </c>
      <c r="H601" s="2" t="s">
        <v>1874</v>
      </c>
      <c r="I601" s="2" t="s">
        <v>1875</v>
      </c>
    </row>
    <row r="602" ht="15.75" customHeight="1">
      <c r="A602" s="1">
        <v>45642.0</v>
      </c>
      <c r="B602" s="2" t="s">
        <v>34</v>
      </c>
      <c r="C602" s="2" t="s">
        <v>289</v>
      </c>
      <c r="D602" s="6">
        <v>205.57</v>
      </c>
      <c r="E602" s="6">
        <v>5.0</v>
      </c>
      <c r="F602" s="7">
        <v>1027.85</v>
      </c>
      <c r="G602" s="2" t="s">
        <v>1876</v>
      </c>
      <c r="H602" s="2" t="s">
        <v>1877</v>
      </c>
      <c r="I602" s="2" t="s">
        <v>1878</v>
      </c>
    </row>
    <row r="603" ht="15.75" customHeight="1">
      <c r="A603" s="1">
        <v>45642.0</v>
      </c>
      <c r="B603" s="2" t="s">
        <v>34</v>
      </c>
      <c r="C603" s="2" t="s">
        <v>215</v>
      </c>
      <c r="D603" s="6">
        <v>785.82</v>
      </c>
      <c r="E603" s="6">
        <v>2.0</v>
      </c>
      <c r="F603" s="7">
        <v>1571.64</v>
      </c>
      <c r="G603" s="2" t="s">
        <v>1879</v>
      </c>
      <c r="H603" s="2" t="s">
        <v>1880</v>
      </c>
      <c r="I603" s="2" t="s">
        <v>1881</v>
      </c>
    </row>
    <row r="604" ht="15.75" customHeight="1">
      <c r="A604" s="1">
        <v>45642.0</v>
      </c>
      <c r="B604" s="3" t="s">
        <v>29</v>
      </c>
      <c r="C604" s="2" t="s">
        <v>252</v>
      </c>
      <c r="D604" s="6">
        <v>1220.85</v>
      </c>
      <c r="E604" s="6">
        <v>1.0</v>
      </c>
      <c r="F604" s="7">
        <v>1220.85</v>
      </c>
      <c r="G604" s="2" t="s">
        <v>1882</v>
      </c>
      <c r="H604" s="2" t="s">
        <v>1883</v>
      </c>
      <c r="I604" s="2" t="s">
        <v>1884</v>
      </c>
    </row>
    <row r="605" ht="15.75" customHeight="1">
      <c r="A605" s="1">
        <v>45642.0</v>
      </c>
      <c r="B605" s="2" t="s">
        <v>57</v>
      </c>
      <c r="C605" s="2" t="s">
        <v>62</v>
      </c>
      <c r="D605" s="6">
        <v>2281.01</v>
      </c>
      <c r="E605" s="6">
        <v>4.0</v>
      </c>
      <c r="F605" s="7">
        <v>9124.04</v>
      </c>
      <c r="G605" s="2" t="s">
        <v>1885</v>
      </c>
      <c r="H605" s="2" t="s">
        <v>1886</v>
      </c>
      <c r="I605" s="2" t="s">
        <v>1887</v>
      </c>
    </row>
    <row r="606" ht="15.75" customHeight="1">
      <c r="A606" s="1">
        <v>45642.0</v>
      </c>
      <c r="B606" s="3" t="s">
        <v>14</v>
      </c>
      <c r="C606" s="2" t="s">
        <v>252</v>
      </c>
      <c r="D606" s="6">
        <v>763.21</v>
      </c>
      <c r="E606" s="6">
        <v>5.0</v>
      </c>
      <c r="F606" s="7">
        <v>3816.05</v>
      </c>
      <c r="G606" s="2" t="s">
        <v>1888</v>
      </c>
      <c r="H606" s="2" t="s">
        <v>1889</v>
      </c>
      <c r="I606" s="2" t="s">
        <v>1890</v>
      </c>
    </row>
    <row r="607" ht="15.75" customHeight="1">
      <c r="A607" s="1">
        <v>45642.0</v>
      </c>
      <c r="B607" s="3" t="s">
        <v>74</v>
      </c>
      <c r="C607" s="2" t="s">
        <v>396</v>
      </c>
      <c r="D607" s="6">
        <v>1711.88</v>
      </c>
      <c r="E607" s="6">
        <v>2.0</v>
      </c>
      <c r="F607" s="7">
        <v>3423.76</v>
      </c>
      <c r="G607" s="2" t="s">
        <v>1891</v>
      </c>
      <c r="H607" s="2" t="s">
        <v>1892</v>
      </c>
      <c r="I607" s="2" t="s">
        <v>1893</v>
      </c>
    </row>
    <row r="608" ht="15.75" customHeight="1">
      <c r="A608" s="1">
        <v>45642.0</v>
      </c>
      <c r="B608" s="2" t="s">
        <v>34</v>
      </c>
      <c r="C608" s="2" t="s">
        <v>137</v>
      </c>
      <c r="D608" s="6">
        <v>1252.47</v>
      </c>
      <c r="E608" s="6">
        <v>5.0</v>
      </c>
      <c r="F608" s="7">
        <v>6262.35</v>
      </c>
      <c r="G608" s="2" t="s">
        <v>1894</v>
      </c>
      <c r="H608" s="2" t="s">
        <v>1895</v>
      </c>
      <c r="I608" s="2" t="s">
        <v>1896</v>
      </c>
    </row>
    <row r="609" ht="15.75" customHeight="1">
      <c r="A609" s="1">
        <v>45642.0</v>
      </c>
      <c r="B609" s="2" t="s">
        <v>34</v>
      </c>
      <c r="C609" s="2" t="s">
        <v>279</v>
      </c>
      <c r="D609" s="6">
        <v>1119.17</v>
      </c>
      <c r="E609" s="6">
        <v>5.0</v>
      </c>
      <c r="F609" s="7">
        <v>5595.85</v>
      </c>
      <c r="G609" s="2" t="s">
        <v>1897</v>
      </c>
      <c r="H609" s="2" t="s">
        <v>1898</v>
      </c>
      <c r="I609" s="2" t="s">
        <v>1899</v>
      </c>
    </row>
    <row r="610" ht="15.75" customHeight="1">
      <c r="A610" s="1">
        <v>45642.0</v>
      </c>
      <c r="B610" s="3" t="s">
        <v>9</v>
      </c>
      <c r="C610" s="2" t="s">
        <v>88</v>
      </c>
      <c r="D610" s="6">
        <v>842.36</v>
      </c>
      <c r="E610" s="6">
        <v>5.0</v>
      </c>
      <c r="F610" s="7">
        <v>4211.8</v>
      </c>
      <c r="G610" s="2" t="s">
        <v>1900</v>
      </c>
      <c r="H610" s="2" t="s">
        <v>1901</v>
      </c>
      <c r="I610" s="2" t="s">
        <v>1902</v>
      </c>
    </row>
    <row r="611" ht="15.75" customHeight="1">
      <c r="A611" s="1">
        <v>45643.0</v>
      </c>
      <c r="B611" s="3" t="s">
        <v>74</v>
      </c>
      <c r="C611" s="2" t="s">
        <v>662</v>
      </c>
      <c r="D611" s="6">
        <v>1771.25</v>
      </c>
      <c r="E611" s="6">
        <v>4.0</v>
      </c>
      <c r="F611" s="7">
        <v>7085.0</v>
      </c>
      <c r="G611" s="2" t="s">
        <v>1903</v>
      </c>
      <c r="H611" s="2" t="s">
        <v>1904</v>
      </c>
      <c r="I611" s="2" t="s">
        <v>1905</v>
      </c>
    </row>
    <row r="612" ht="15.75" customHeight="1">
      <c r="A612" s="1">
        <v>45643.0</v>
      </c>
      <c r="B612" s="3" t="s">
        <v>74</v>
      </c>
      <c r="C612" s="2" t="s">
        <v>92</v>
      </c>
      <c r="D612" s="6">
        <v>1865.58</v>
      </c>
      <c r="E612" s="6">
        <v>2.0</v>
      </c>
      <c r="F612" s="7">
        <v>3731.16</v>
      </c>
      <c r="G612" s="2" t="s">
        <v>1906</v>
      </c>
      <c r="H612" s="2" t="s">
        <v>1907</v>
      </c>
      <c r="I612" s="2" t="s">
        <v>1908</v>
      </c>
    </row>
    <row r="613" ht="15.75" customHeight="1">
      <c r="A613" s="1">
        <v>45643.0</v>
      </c>
      <c r="B613" s="3" t="s">
        <v>14</v>
      </c>
      <c r="C613" s="2" t="s">
        <v>161</v>
      </c>
      <c r="D613" s="6">
        <v>1615.07</v>
      </c>
      <c r="E613" s="6">
        <v>3.0</v>
      </c>
      <c r="F613" s="7">
        <v>4845.21</v>
      </c>
      <c r="G613" s="2" t="s">
        <v>1909</v>
      </c>
      <c r="H613" s="2" t="s">
        <v>1910</v>
      </c>
      <c r="I613" s="2" t="s">
        <v>1911</v>
      </c>
    </row>
    <row r="614" ht="15.75" customHeight="1">
      <c r="A614" s="1">
        <v>45643.0</v>
      </c>
      <c r="B614" s="3" t="s">
        <v>74</v>
      </c>
      <c r="C614" s="2" t="s">
        <v>386</v>
      </c>
      <c r="D614" s="6">
        <v>1627.59</v>
      </c>
      <c r="E614" s="6">
        <v>1.0</v>
      </c>
      <c r="F614" s="7">
        <v>1627.59</v>
      </c>
      <c r="G614" s="2" t="s">
        <v>1912</v>
      </c>
      <c r="H614" s="2" t="s">
        <v>1913</v>
      </c>
      <c r="I614" s="2" t="s">
        <v>1914</v>
      </c>
    </row>
    <row r="615" ht="15.75" customHeight="1">
      <c r="A615" s="1">
        <v>45643.0</v>
      </c>
      <c r="B615" s="3" t="s">
        <v>74</v>
      </c>
      <c r="C615" s="2" t="s">
        <v>427</v>
      </c>
      <c r="D615" s="6">
        <v>1700.41</v>
      </c>
      <c r="E615" s="6">
        <v>4.0</v>
      </c>
      <c r="F615" s="7">
        <v>6801.64</v>
      </c>
      <c r="G615" s="2" t="s">
        <v>1915</v>
      </c>
      <c r="H615" s="2" t="s">
        <v>1916</v>
      </c>
      <c r="I615" s="2" t="s">
        <v>1917</v>
      </c>
    </row>
    <row r="616" ht="15.75" customHeight="1">
      <c r="A616" s="1">
        <v>45643.0</v>
      </c>
      <c r="B616" s="3" t="s">
        <v>29</v>
      </c>
      <c r="C616" s="2" t="s">
        <v>151</v>
      </c>
      <c r="D616" s="6">
        <v>1035.07</v>
      </c>
      <c r="E616" s="6">
        <v>1.0</v>
      </c>
      <c r="F616" s="7">
        <v>1035.07</v>
      </c>
      <c r="G616" s="2" t="s">
        <v>1918</v>
      </c>
      <c r="H616" s="2" t="s">
        <v>1919</v>
      </c>
      <c r="I616" s="2" t="s">
        <v>1920</v>
      </c>
    </row>
    <row r="617" ht="15.75" customHeight="1">
      <c r="A617" s="1">
        <v>45643.0</v>
      </c>
      <c r="B617" s="3" t="s">
        <v>74</v>
      </c>
      <c r="C617" s="2" t="s">
        <v>396</v>
      </c>
      <c r="D617" s="6">
        <v>771.57</v>
      </c>
      <c r="E617" s="6">
        <v>5.0</v>
      </c>
      <c r="F617" s="7">
        <v>3857.85</v>
      </c>
      <c r="G617" s="2" t="s">
        <v>1921</v>
      </c>
      <c r="H617" s="2" t="s">
        <v>1922</v>
      </c>
      <c r="I617" s="2" t="s">
        <v>1923</v>
      </c>
    </row>
    <row r="618" ht="15.75" customHeight="1">
      <c r="A618" s="1">
        <v>45643.0</v>
      </c>
      <c r="B618" s="3" t="s">
        <v>14</v>
      </c>
      <c r="C618" s="2" t="s">
        <v>308</v>
      </c>
      <c r="D618" s="6">
        <v>1698.28</v>
      </c>
      <c r="E618" s="6">
        <v>3.0</v>
      </c>
      <c r="F618" s="7">
        <v>5094.84</v>
      </c>
      <c r="G618" s="2" t="s">
        <v>1924</v>
      </c>
      <c r="H618" s="2" t="s">
        <v>1925</v>
      </c>
      <c r="I618" s="2" t="s">
        <v>1926</v>
      </c>
    </row>
    <row r="619" ht="15.75" customHeight="1">
      <c r="A619" s="1">
        <v>45644.0</v>
      </c>
      <c r="B619" s="3" t="s">
        <v>14</v>
      </c>
      <c r="C619" s="2" t="s">
        <v>187</v>
      </c>
      <c r="D619" s="6">
        <v>602.68</v>
      </c>
      <c r="E619" s="6">
        <v>3.0</v>
      </c>
      <c r="F619" s="7">
        <v>1808.04</v>
      </c>
      <c r="G619" s="2" t="s">
        <v>1927</v>
      </c>
      <c r="H619" s="2" t="s">
        <v>1928</v>
      </c>
      <c r="I619" s="2" t="s">
        <v>1929</v>
      </c>
    </row>
    <row r="620" ht="15.75" customHeight="1">
      <c r="A620" s="1">
        <v>45644.0</v>
      </c>
      <c r="B620" s="2" t="s">
        <v>34</v>
      </c>
      <c r="C620" s="2" t="s">
        <v>222</v>
      </c>
      <c r="D620" s="6">
        <v>1096.28</v>
      </c>
      <c r="E620" s="6">
        <v>3.0</v>
      </c>
      <c r="F620" s="7">
        <v>3288.84</v>
      </c>
      <c r="G620" s="2" t="s">
        <v>1930</v>
      </c>
      <c r="H620" s="2" t="s">
        <v>1931</v>
      </c>
      <c r="I620" s="2" t="s">
        <v>1932</v>
      </c>
    </row>
    <row r="621" ht="15.75" customHeight="1">
      <c r="A621" s="1">
        <v>45644.0</v>
      </c>
      <c r="B621" s="3" t="s">
        <v>9</v>
      </c>
      <c r="C621" s="2" t="s">
        <v>187</v>
      </c>
      <c r="D621" s="6">
        <v>2030.62</v>
      </c>
      <c r="E621" s="6">
        <v>2.0</v>
      </c>
      <c r="F621" s="7">
        <v>4061.24</v>
      </c>
      <c r="G621" s="2" t="s">
        <v>1933</v>
      </c>
      <c r="H621" s="2" t="s">
        <v>1934</v>
      </c>
      <c r="I621" s="2" t="s">
        <v>1935</v>
      </c>
    </row>
    <row r="622" ht="15.75" customHeight="1">
      <c r="A622" s="1">
        <v>45644.0</v>
      </c>
      <c r="B622" s="3" t="s">
        <v>9</v>
      </c>
      <c r="C622" s="2" t="s">
        <v>289</v>
      </c>
      <c r="D622" s="6">
        <v>1405.61</v>
      </c>
      <c r="E622" s="6">
        <v>5.0</v>
      </c>
      <c r="F622" s="7">
        <v>7028.05</v>
      </c>
      <c r="G622" s="2" t="s">
        <v>1936</v>
      </c>
      <c r="H622" s="2" t="s">
        <v>1937</v>
      </c>
      <c r="I622" s="2" t="s">
        <v>1938</v>
      </c>
    </row>
    <row r="623" ht="15.75" customHeight="1">
      <c r="A623" s="1">
        <v>45644.0</v>
      </c>
      <c r="B623" s="2" t="s">
        <v>34</v>
      </c>
      <c r="C623" s="2" t="s">
        <v>70</v>
      </c>
      <c r="D623" s="6">
        <v>564.58</v>
      </c>
      <c r="E623" s="6">
        <v>4.0</v>
      </c>
      <c r="F623" s="7">
        <v>2258.32</v>
      </c>
      <c r="G623" s="2" t="s">
        <v>1939</v>
      </c>
      <c r="H623" s="2" t="s">
        <v>1940</v>
      </c>
      <c r="I623" s="2" t="s">
        <v>1941</v>
      </c>
    </row>
    <row r="624" ht="15.75" customHeight="1">
      <c r="A624" s="1">
        <v>45644.0</v>
      </c>
      <c r="B624" s="2" t="s">
        <v>57</v>
      </c>
      <c r="C624" s="2" t="s">
        <v>187</v>
      </c>
      <c r="D624" s="6">
        <v>2310.61</v>
      </c>
      <c r="E624" s="6">
        <v>3.0</v>
      </c>
      <c r="F624" s="7">
        <v>6931.83</v>
      </c>
      <c r="G624" s="2" t="s">
        <v>1942</v>
      </c>
      <c r="H624" s="2" t="s">
        <v>1943</v>
      </c>
      <c r="I624" s="2" t="s">
        <v>1944</v>
      </c>
    </row>
    <row r="625" ht="15.75" customHeight="1">
      <c r="A625" s="1">
        <v>45644.0</v>
      </c>
      <c r="B625" s="3" t="s">
        <v>9</v>
      </c>
      <c r="C625" s="2" t="s">
        <v>366</v>
      </c>
      <c r="D625" s="6">
        <v>2425.55</v>
      </c>
      <c r="E625" s="6">
        <v>3.0</v>
      </c>
      <c r="F625" s="7">
        <v>7276.65</v>
      </c>
      <c r="G625" s="2" t="s">
        <v>1945</v>
      </c>
      <c r="H625" s="2" t="s">
        <v>1946</v>
      </c>
      <c r="I625" s="2" t="s">
        <v>1947</v>
      </c>
    </row>
    <row r="626" ht="15.75" customHeight="1">
      <c r="A626" s="1">
        <v>45644.0</v>
      </c>
      <c r="B626" s="2" t="s">
        <v>34</v>
      </c>
      <c r="C626" s="2" t="s">
        <v>83</v>
      </c>
      <c r="D626" s="6">
        <v>944.98</v>
      </c>
      <c r="E626" s="6">
        <v>1.0</v>
      </c>
      <c r="F626" s="7">
        <v>944.98</v>
      </c>
      <c r="G626" s="2" t="s">
        <v>1948</v>
      </c>
      <c r="H626" s="2" t="s">
        <v>1949</v>
      </c>
      <c r="I626" s="2" t="s">
        <v>1950</v>
      </c>
    </row>
    <row r="627" ht="15.75" customHeight="1">
      <c r="A627" s="1">
        <v>45644.0</v>
      </c>
      <c r="B627" s="3" t="s">
        <v>14</v>
      </c>
      <c r="C627" s="2" t="s">
        <v>316</v>
      </c>
      <c r="D627" s="6">
        <v>1876.74</v>
      </c>
      <c r="E627" s="6">
        <v>3.0</v>
      </c>
      <c r="F627" s="7">
        <v>5630.22</v>
      </c>
      <c r="G627" s="2" t="s">
        <v>1951</v>
      </c>
      <c r="H627" s="2" t="s">
        <v>1952</v>
      </c>
      <c r="I627" s="2" t="s">
        <v>1953</v>
      </c>
    </row>
    <row r="628" ht="15.75" customHeight="1">
      <c r="A628" s="1">
        <v>45644.0</v>
      </c>
      <c r="B628" s="3" t="s">
        <v>9</v>
      </c>
      <c r="C628" s="2" t="s">
        <v>187</v>
      </c>
      <c r="D628" s="6">
        <v>2031.79</v>
      </c>
      <c r="E628" s="6">
        <v>5.0</v>
      </c>
      <c r="F628" s="7">
        <v>10158.95</v>
      </c>
      <c r="G628" s="2" t="s">
        <v>1954</v>
      </c>
      <c r="H628" s="2" t="s">
        <v>1955</v>
      </c>
      <c r="I628" s="2" t="s">
        <v>1956</v>
      </c>
    </row>
    <row r="629" ht="15.75" customHeight="1">
      <c r="A629" s="1">
        <v>45644.0</v>
      </c>
      <c r="B629" s="2" t="s">
        <v>57</v>
      </c>
      <c r="C629" s="2" t="s">
        <v>183</v>
      </c>
      <c r="D629" s="6">
        <v>1031.51</v>
      </c>
      <c r="E629" s="6">
        <v>1.0</v>
      </c>
      <c r="F629" s="7">
        <v>1031.51</v>
      </c>
      <c r="G629" s="2" t="s">
        <v>1957</v>
      </c>
      <c r="H629" s="2" t="s">
        <v>1958</v>
      </c>
      <c r="I629" s="2" t="s">
        <v>1959</v>
      </c>
    </row>
    <row r="630" ht="15.75" customHeight="1">
      <c r="A630" s="1">
        <v>45644.0</v>
      </c>
      <c r="B630" s="3" t="s">
        <v>74</v>
      </c>
      <c r="C630" s="2" t="s">
        <v>215</v>
      </c>
      <c r="D630" s="6">
        <v>879.04</v>
      </c>
      <c r="E630" s="6">
        <v>2.0</v>
      </c>
      <c r="F630" s="7">
        <v>1758.08</v>
      </c>
      <c r="G630" s="2" t="s">
        <v>1960</v>
      </c>
      <c r="H630" s="2" t="s">
        <v>1961</v>
      </c>
      <c r="I630" s="2" t="s">
        <v>1962</v>
      </c>
    </row>
    <row r="631" ht="15.75" customHeight="1">
      <c r="A631" s="1">
        <v>45644.0</v>
      </c>
      <c r="B631" s="2" t="s">
        <v>34</v>
      </c>
      <c r="C631" s="2" t="s">
        <v>15</v>
      </c>
      <c r="D631" s="6">
        <v>292.99</v>
      </c>
      <c r="E631" s="6">
        <v>1.0</v>
      </c>
      <c r="F631" s="7">
        <v>292.99</v>
      </c>
      <c r="G631" s="2" t="s">
        <v>1963</v>
      </c>
      <c r="H631" s="2" t="s">
        <v>1964</v>
      </c>
      <c r="I631" s="2" t="s">
        <v>1965</v>
      </c>
    </row>
    <row r="632" ht="15.75" customHeight="1">
      <c r="A632" s="1">
        <v>45645.0</v>
      </c>
      <c r="B632" s="3" t="s">
        <v>14</v>
      </c>
      <c r="C632" s="2" t="s">
        <v>187</v>
      </c>
      <c r="D632" s="6">
        <v>1575.85</v>
      </c>
      <c r="E632" s="6">
        <v>2.0</v>
      </c>
      <c r="F632" s="7">
        <v>3151.7</v>
      </c>
      <c r="G632" s="2" t="s">
        <v>1966</v>
      </c>
      <c r="H632" s="2" t="s">
        <v>1967</v>
      </c>
      <c r="I632" s="2" t="s">
        <v>1968</v>
      </c>
    </row>
    <row r="633" ht="15.75" customHeight="1">
      <c r="A633" s="1">
        <v>45645.0</v>
      </c>
      <c r="B633" s="2" t="s">
        <v>34</v>
      </c>
      <c r="C633" s="2" t="s">
        <v>130</v>
      </c>
      <c r="D633" s="6">
        <v>720.31</v>
      </c>
      <c r="E633" s="6">
        <v>3.0</v>
      </c>
      <c r="F633" s="7">
        <v>2160.93</v>
      </c>
      <c r="G633" s="2" t="s">
        <v>1969</v>
      </c>
      <c r="H633" s="2" t="s">
        <v>1970</v>
      </c>
      <c r="I633" s="2" t="s">
        <v>1971</v>
      </c>
    </row>
    <row r="634" ht="15.75" customHeight="1">
      <c r="A634" s="1">
        <v>45645.0</v>
      </c>
      <c r="B634" s="2" t="s">
        <v>34</v>
      </c>
      <c r="C634" s="2" t="s">
        <v>70</v>
      </c>
      <c r="D634" s="6">
        <v>2309.76</v>
      </c>
      <c r="E634" s="6">
        <v>5.0</v>
      </c>
      <c r="F634" s="7">
        <v>11548.8</v>
      </c>
      <c r="G634" s="2" t="s">
        <v>1972</v>
      </c>
      <c r="H634" s="2" t="s">
        <v>1973</v>
      </c>
      <c r="I634" s="2" t="s">
        <v>1974</v>
      </c>
    </row>
    <row r="635" ht="15.75" customHeight="1">
      <c r="A635" s="1">
        <v>45645.0</v>
      </c>
      <c r="B635" s="2" t="s">
        <v>34</v>
      </c>
      <c r="C635" s="2" t="s">
        <v>366</v>
      </c>
      <c r="D635" s="6">
        <v>633.29</v>
      </c>
      <c r="E635" s="6">
        <v>1.0</v>
      </c>
      <c r="F635" s="7">
        <v>633.29</v>
      </c>
      <c r="G635" s="2" t="s">
        <v>1975</v>
      </c>
      <c r="H635" s="2" t="s">
        <v>1976</v>
      </c>
      <c r="I635" s="2" t="s">
        <v>1977</v>
      </c>
    </row>
    <row r="636" ht="15.75" customHeight="1">
      <c r="A636" s="1">
        <v>45645.0</v>
      </c>
      <c r="B636" s="2" t="s">
        <v>34</v>
      </c>
      <c r="C636" s="2" t="s">
        <v>70</v>
      </c>
      <c r="D636" s="6">
        <v>530.94</v>
      </c>
      <c r="E636" s="6">
        <v>5.0</v>
      </c>
      <c r="F636" s="7">
        <v>2654.7</v>
      </c>
      <c r="G636" s="2" t="s">
        <v>1978</v>
      </c>
      <c r="H636" s="2" t="s">
        <v>1979</v>
      </c>
      <c r="I636" s="2" t="s">
        <v>1980</v>
      </c>
    </row>
    <row r="637" ht="15.75" customHeight="1">
      <c r="A637" s="1">
        <v>45645.0</v>
      </c>
      <c r="B637" s="2" t="s">
        <v>34</v>
      </c>
      <c r="C637" s="2" t="s">
        <v>10</v>
      </c>
      <c r="D637" s="6">
        <v>127.35</v>
      </c>
      <c r="E637" s="6">
        <v>1.0</v>
      </c>
      <c r="F637" s="7">
        <v>127.35</v>
      </c>
      <c r="G637" s="2" t="s">
        <v>1981</v>
      </c>
      <c r="H637" s="2" t="s">
        <v>1982</v>
      </c>
      <c r="I637" s="2" t="s">
        <v>1983</v>
      </c>
    </row>
    <row r="638" ht="15.75" customHeight="1">
      <c r="A638" s="1">
        <v>45645.0</v>
      </c>
      <c r="B638" s="3" t="s">
        <v>9</v>
      </c>
      <c r="C638" s="2" t="s">
        <v>370</v>
      </c>
      <c r="D638" s="6">
        <v>1008.28</v>
      </c>
      <c r="E638" s="6">
        <v>5.0</v>
      </c>
      <c r="F638" s="7">
        <v>5041.4</v>
      </c>
      <c r="G638" s="2" t="s">
        <v>1984</v>
      </c>
      <c r="H638" s="2" t="s">
        <v>1985</v>
      </c>
      <c r="I638" s="2" t="s">
        <v>1986</v>
      </c>
    </row>
    <row r="639" ht="15.75" customHeight="1">
      <c r="A639" s="1">
        <v>45645.0</v>
      </c>
      <c r="B639" s="3" t="s">
        <v>14</v>
      </c>
      <c r="C639" s="2" t="s">
        <v>115</v>
      </c>
      <c r="D639" s="6">
        <v>1900.01</v>
      </c>
      <c r="E639" s="6">
        <v>5.0</v>
      </c>
      <c r="F639" s="7">
        <v>9500.05</v>
      </c>
      <c r="G639" s="2" t="s">
        <v>1987</v>
      </c>
      <c r="H639" s="2" t="s">
        <v>1988</v>
      </c>
      <c r="I639" s="2" t="s">
        <v>1989</v>
      </c>
    </row>
    <row r="640" ht="15.75" customHeight="1">
      <c r="A640" s="1">
        <v>45645.0</v>
      </c>
      <c r="B640" s="3" t="s">
        <v>74</v>
      </c>
      <c r="C640" s="2" t="s">
        <v>179</v>
      </c>
      <c r="D640" s="6">
        <v>1254.96</v>
      </c>
      <c r="E640" s="6">
        <v>1.0</v>
      </c>
      <c r="F640" s="7">
        <v>1254.96</v>
      </c>
      <c r="G640" s="2" t="s">
        <v>1990</v>
      </c>
      <c r="H640" s="2" t="s">
        <v>1991</v>
      </c>
      <c r="I640" s="2" t="s">
        <v>1992</v>
      </c>
    </row>
    <row r="641" ht="15.75" customHeight="1">
      <c r="A641" s="1">
        <v>45645.0</v>
      </c>
      <c r="B641" s="3" t="s">
        <v>9</v>
      </c>
      <c r="C641" s="2" t="s">
        <v>115</v>
      </c>
      <c r="D641" s="6">
        <v>432.18</v>
      </c>
      <c r="E641" s="6">
        <v>1.0</v>
      </c>
      <c r="F641" s="7">
        <v>432.18</v>
      </c>
      <c r="G641" s="2" t="s">
        <v>1993</v>
      </c>
      <c r="H641" s="2" t="s">
        <v>1994</v>
      </c>
      <c r="I641" s="2" t="s">
        <v>1995</v>
      </c>
    </row>
    <row r="642" ht="15.75" customHeight="1">
      <c r="A642" s="1">
        <v>45646.0</v>
      </c>
      <c r="B642" s="3" t="s">
        <v>74</v>
      </c>
      <c r="C642" s="2" t="s">
        <v>215</v>
      </c>
      <c r="D642" s="6">
        <v>2373.12</v>
      </c>
      <c r="E642" s="6">
        <v>2.0</v>
      </c>
      <c r="F642" s="7">
        <v>4746.24</v>
      </c>
      <c r="G642" s="2" t="s">
        <v>1996</v>
      </c>
      <c r="H642" s="2" t="s">
        <v>1997</v>
      </c>
      <c r="I642" s="2" t="s">
        <v>1998</v>
      </c>
    </row>
    <row r="643" ht="15.75" customHeight="1">
      <c r="A643" s="1">
        <v>45646.0</v>
      </c>
      <c r="B643" s="2" t="s">
        <v>34</v>
      </c>
      <c r="C643" s="2" t="s">
        <v>83</v>
      </c>
      <c r="D643" s="6">
        <v>290.07</v>
      </c>
      <c r="E643" s="6">
        <v>4.0</v>
      </c>
      <c r="F643" s="7">
        <v>1160.28</v>
      </c>
      <c r="G643" s="2" t="s">
        <v>1999</v>
      </c>
      <c r="H643" s="2" t="s">
        <v>2000</v>
      </c>
      <c r="I643" s="2" t="s">
        <v>2001</v>
      </c>
    </row>
    <row r="644" ht="15.75" customHeight="1">
      <c r="A644" s="1">
        <v>45646.0</v>
      </c>
      <c r="B644" s="3" t="s">
        <v>9</v>
      </c>
      <c r="C644" s="2" t="s">
        <v>187</v>
      </c>
      <c r="D644" s="6">
        <v>841.77</v>
      </c>
      <c r="E644" s="6">
        <v>1.0</v>
      </c>
      <c r="F644" s="7">
        <v>841.77</v>
      </c>
      <c r="G644" s="2" t="s">
        <v>2002</v>
      </c>
      <c r="H644" s="2" t="s">
        <v>2003</v>
      </c>
      <c r="I644" s="2" t="s">
        <v>2004</v>
      </c>
    </row>
    <row r="645" ht="15.75" customHeight="1">
      <c r="A645" s="1">
        <v>45646.0</v>
      </c>
      <c r="B645" s="3" t="s">
        <v>9</v>
      </c>
      <c r="C645" s="2" t="s">
        <v>119</v>
      </c>
      <c r="D645" s="6">
        <v>1501.95</v>
      </c>
      <c r="E645" s="6">
        <v>2.0</v>
      </c>
      <c r="F645" s="7">
        <v>3003.9</v>
      </c>
      <c r="G645" s="2" t="s">
        <v>2005</v>
      </c>
      <c r="H645" s="2" t="s">
        <v>2006</v>
      </c>
      <c r="I645" s="2" t="s">
        <v>2007</v>
      </c>
    </row>
    <row r="646" ht="15.75" customHeight="1">
      <c r="A646" s="1">
        <v>45646.0</v>
      </c>
      <c r="B646" s="2" t="s">
        <v>34</v>
      </c>
      <c r="C646" s="2" t="s">
        <v>662</v>
      </c>
      <c r="D646" s="6">
        <v>769.01</v>
      </c>
      <c r="E646" s="6">
        <v>5.0</v>
      </c>
      <c r="F646" s="7">
        <v>3845.05</v>
      </c>
      <c r="G646" s="2" t="s">
        <v>2008</v>
      </c>
      <c r="H646" s="2" t="s">
        <v>2009</v>
      </c>
      <c r="I646" s="2" t="s">
        <v>2010</v>
      </c>
    </row>
    <row r="647" ht="15.75" customHeight="1">
      <c r="A647" s="1">
        <v>45646.0</v>
      </c>
      <c r="B647" s="3" t="s">
        <v>29</v>
      </c>
      <c r="C647" s="2" t="s">
        <v>161</v>
      </c>
      <c r="D647" s="6">
        <v>1507.69</v>
      </c>
      <c r="E647" s="6">
        <v>5.0</v>
      </c>
      <c r="F647" s="7">
        <v>7538.45</v>
      </c>
      <c r="G647" s="2" t="s">
        <v>2011</v>
      </c>
      <c r="H647" s="2" t="s">
        <v>2012</v>
      </c>
      <c r="I647" s="2" t="s">
        <v>2013</v>
      </c>
    </row>
    <row r="648" ht="15.75" customHeight="1">
      <c r="A648" s="1">
        <v>45646.0</v>
      </c>
      <c r="B648" s="3" t="s">
        <v>9</v>
      </c>
      <c r="C648" s="2" t="s">
        <v>179</v>
      </c>
      <c r="D648" s="6">
        <v>2086.91</v>
      </c>
      <c r="E648" s="6">
        <v>5.0</v>
      </c>
      <c r="F648" s="7">
        <v>10434.55</v>
      </c>
      <c r="G648" s="2" t="s">
        <v>2014</v>
      </c>
      <c r="H648" s="2" t="s">
        <v>2015</v>
      </c>
      <c r="I648" s="2" t="s">
        <v>2016</v>
      </c>
    </row>
    <row r="649" ht="15.75" customHeight="1">
      <c r="A649" s="1">
        <v>45646.0</v>
      </c>
      <c r="B649" s="3" t="s">
        <v>29</v>
      </c>
      <c r="C649" s="2" t="s">
        <v>396</v>
      </c>
      <c r="D649" s="6">
        <v>1092.96</v>
      </c>
      <c r="E649" s="6">
        <v>4.0</v>
      </c>
      <c r="F649" s="7">
        <v>4371.84</v>
      </c>
      <c r="G649" s="2" t="s">
        <v>2017</v>
      </c>
      <c r="H649" s="2" t="s">
        <v>2018</v>
      </c>
      <c r="I649" s="2" t="s">
        <v>2019</v>
      </c>
    </row>
    <row r="650" ht="15.75" customHeight="1">
      <c r="A650" s="1">
        <v>45646.0</v>
      </c>
      <c r="B650" s="2" t="s">
        <v>57</v>
      </c>
      <c r="C650" s="2" t="s">
        <v>137</v>
      </c>
      <c r="D650" s="6">
        <v>2114.97</v>
      </c>
      <c r="E650" s="6">
        <v>1.0</v>
      </c>
      <c r="F650" s="7">
        <v>2114.97</v>
      </c>
      <c r="G650" s="2" t="s">
        <v>2020</v>
      </c>
      <c r="H650" s="2" t="s">
        <v>2021</v>
      </c>
      <c r="I650" s="2" t="s">
        <v>2022</v>
      </c>
    </row>
    <row r="651" ht="15.75" customHeight="1">
      <c r="A651" s="1">
        <v>45646.0</v>
      </c>
      <c r="B651" s="3" t="s">
        <v>14</v>
      </c>
      <c r="C651" s="2" t="s">
        <v>370</v>
      </c>
      <c r="D651" s="6">
        <v>2077.18</v>
      </c>
      <c r="E651" s="6">
        <v>4.0</v>
      </c>
      <c r="F651" s="7">
        <v>8308.72</v>
      </c>
      <c r="G651" s="2" t="s">
        <v>2023</v>
      </c>
      <c r="H651" s="2" t="s">
        <v>2024</v>
      </c>
      <c r="I651" s="2" t="s">
        <v>2025</v>
      </c>
    </row>
    <row r="652" ht="15.75" customHeight="1">
      <c r="A652" s="1">
        <v>45647.0</v>
      </c>
      <c r="B652" s="2" t="s">
        <v>34</v>
      </c>
      <c r="C652" s="2" t="s">
        <v>662</v>
      </c>
      <c r="D652" s="6">
        <v>1547.71</v>
      </c>
      <c r="E652" s="6">
        <v>5.0</v>
      </c>
      <c r="F652" s="7">
        <v>7738.55</v>
      </c>
      <c r="G652" s="2" t="s">
        <v>2026</v>
      </c>
      <c r="H652" s="2" t="s">
        <v>2027</v>
      </c>
      <c r="I652" s="2" t="s">
        <v>2028</v>
      </c>
    </row>
    <row r="653" ht="15.75" customHeight="1">
      <c r="A653" s="1">
        <v>45647.0</v>
      </c>
      <c r="B653" s="3" t="s">
        <v>9</v>
      </c>
      <c r="C653" s="2" t="s">
        <v>161</v>
      </c>
      <c r="D653" s="6">
        <v>1944.73</v>
      </c>
      <c r="E653" s="6">
        <v>4.0</v>
      </c>
      <c r="F653" s="7">
        <v>7778.92</v>
      </c>
      <c r="G653" s="2" t="s">
        <v>2029</v>
      </c>
      <c r="H653" s="2" t="s">
        <v>2030</v>
      </c>
      <c r="I653" s="2" t="s">
        <v>2031</v>
      </c>
    </row>
    <row r="654" ht="15.75" customHeight="1">
      <c r="A654" s="1">
        <v>45647.0</v>
      </c>
      <c r="B654" s="3" t="s">
        <v>74</v>
      </c>
      <c r="C654" s="2" t="s">
        <v>119</v>
      </c>
      <c r="D654" s="6">
        <v>1459.53</v>
      </c>
      <c r="E654" s="6">
        <v>1.0</v>
      </c>
      <c r="F654" s="7">
        <v>1459.53</v>
      </c>
      <c r="G654" s="2" t="s">
        <v>2032</v>
      </c>
      <c r="H654" s="2" t="s">
        <v>2033</v>
      </c>
      <c r="I654" s="2" t="s">
        <v>2034</v>
      </c>
    </row>
    <row r="655" ht="15.75" customHeight="1">
      <c r="A655" s="1">
        <v>45647.0</v>
      </c>
      <c r="B655" s="3" t="s">
        <v>9</v>
      </c>
      <c r="C655" s="2" t="s">
        <v>386</v>
      </c>
      <c r="D655" s="6">
        <v>1019.73</v>
      </c>
      <c r="E655" s="6">
        <v>2.0</v>
      </c>
      <c r="F655" s="7">
        <v>2039.46</v>
      </c>
      <c r="G655" s="2" t="s">
        <v>2035</v>
      </c>
      <c r="H655" s="2" t="s">
        <v>2036</v>
      </c>
      <c r="I655" s="2" t="s">
        <v>2037</v>
      </c>
    </row>
    <row r="656" ht="15.75" customHeight="1">
      <c r="A656" s="1">
        <v>45647.0</v>
      </c>
      <c r="B656" s="3" t="s">
        <v>29</v>
      </c>
      <c r="C656" s="2" t="s">
        <v>269</v>
      </c>
      <c r="D656" s="6">
        <v>1670.11</v>
      </c>
      <c r="E656" s="6">
        <v>3.0</v>
      </c>
      <c r="F656" s="7">
        <v>5010.33</v>
      </c>
      <c r="G656" s="2" t="s">
        <v>2038</v>
      </c>
      <c r="H656" s="2" t="s">
        <v>2039</v>
      </c>
      <c r="I656" s="2" t="s">
        <v>2040</v>
      </c>
    </row>
    <row r="657" ht="15.75" customHeight="1">
      <c r="A657" s="1">
        <v>45647.0</v>
      </c>
      <c r="B657" s="3" t="s">
        <v>74</v>
      </c>
      <c r="C657" s="2" t="s">
        <v>62</v>
      </c>
      <c r="D657" s="6">
        <v>2008.78</v>
      </c>
      <c r="E657" s="6">
        <v>5.0</v>
      </c>
      <c r="F657" s="7">
        <v>10043.9</v>
      </c>
      <c r="G657" s="2" t="s">
        <v>2041</v>
      </c>
      <c r="H657" s="2" t="s">
        <v>2042</v>
      </c>
      <c r="I657" s="2" t="s">
        <v>2043</v>
      </c>
    </row>
    <row r="658" ht="15.75" customHeight="1">
      <c r="A658" s="1">
        <v>45647.0</v>
      </c>
      <c r="B658" s="3" t="s">
        <v>29</v>
      </c>
      <c r="C658" s="2" t="s">
        <v>130</v>
      </c>
      <c r="D658" s="6">
        <v>2461.26</v>
      </c>
      <c r="E658" s="6">
        <v>3.0</v>
      </c>
      <c r="F658" s="7">
        <v>7383.78</v>
      </c>
      <c r="G658" s="2" t="s">
        <v>2044</v>
      </c>
      <c r="H658" s="2" t="s">
        <v>2045</v>
      </c>
      <c r="I658" s="2" t="s">
        <v>2046</v>
      </c>
    </row>
    <row r="659" ht="15.75" customHeight="1">
      <c r="A659" s="1">
        <v>45647.0</v>
      </c>
      <c r="B659" s="2" t="s">
        <v>57</v>
      </c>
      <c r="C659" s="2" t="s">
        <v>396</v>
      </c>
      <c r="D659" s="6">
        <v>2224.42</v>
      </c>
      <c r="E659" s="6">
        <v>4.0</v>
      </c>
      <c r="F659" s="7">
        <v>8897.68</v>
      </c>
      <c r="G659" s="2" t="s">
        <v>2047</v>
      </c>
      <c r="H659" s="2" t="s">
        <v>2048</v>
      </c>
      <c r="I659" s="2" t="s">
        <v>2049</v>
      </c>
    </row>
    <row r="660" ht="15.75" customHeight="1">
      <c r="A660" s="1">
        <v>45647.0</v>
      </c>
      <c r="B660" s="3" t="s">
        <v>74</v>
      </c>
      <c r="C660" s="2" t="s">
        <v>123</v>
      </c>
      <c r="D660" s="6">
        <v>1979.07</v>
      </c>
      <c r="E660" s="6">
        <v>1.0</v>
      </c>
      <c r="F660" s="7">
        <v>1979.07</v>
      </c>
      <c r="G660" s="2" t="s">
        <v>2050</v>
      </c>
      <c r="H660" s="2" t="s">
        <v>2051</v>
      </c>
      <c r="I660" s="2" t="s">
        <v>2052</v>
      </c>
    </row>
    <row r="661" ht="15.75" customHeight="1">
      <c r="A661" s="1">
        <v>45647.0</v>
      </c>
      <c r="B661" s="2" t="s">
        <v>57</v>
      </c>
      <c r="C661" s="2" t="s">
        <v>88</v>
      </c>
      <c r="D661" s="6">
        <v>1397.8</v>
      </c>
      <c r="E661" s="6">
        <v>2.0</v>
      </c>
      <c r="F661" s="7">
        <v>2795.6</v>
      </c>
      <c r="G661" s="2" t="s">
        <v>2053</v>
      </c>
      <c r="H661" s="2" t="s">
        <v>2054</v>
      </c>
      <c r="I661" s="2" t="s">
        <v>2055</v>
      </c>
    </row>
    <row r="662" ht="15.75" customHeight="1">
      <c r="A662" s="1">
        <v>45648.0</v>
      </c>
      <c r="B662" s="2" t="s">
        <v>57</v>
      </c>
      <c r="C662" s="2" t="s">
        <v>92</v>
      </c>
      <c r="D662" s="6">
        <v>1636.65</v>
      </c>
      <c r="E662" s="6">
        <v>2.0</v>
      </c>
      <c r="F662" s="7">
        <v>3273.3</v>
      </c>
      <c r="G662" s="2" t="s">
        <v>2056</v>
      </c>
      <c r="H662" s="2" t="s">
        <v>2057</v>
      </c>
      <c r="I662" s="2" t="s">
        <v>2058</v>
      </c>
    </row>
    <row r="663" ht="15.75" customHeight="1">
      <c r="A663" s="1">
        <v>45648.0</v>
      </c>
      <c r="B663" s="3" t="s">
        <v>74</v>
      </c>
      <c r="C663" s="2" t="s">
        <v>22</v>
      </c>
      <c r="D663" s="6">
        <v>2186.25</v>
      </c>
      <c r="E663" s="6">
        <v>5.0</v>
      </c>
      <c r="F663" s="7">
        <v>10931.25</v>
      </c>
      <c r="G663" s="2" t="s">
        <v>2059</v>
      </c>
      <c r="H663" s="2" t="s">
        <v>2060</v>
      </c>
      <c r="I663" s="2" t="s">
        <v>2061</v>
      </c>
    </row>
    <row r="664" ht="15.75" customHeight="1">
      <c r="A664" s="1">
        <v>45648.0</v>
      </c>
      <c r="B664" s="3" t="s">
        <v>9</v>
      </c>
      <c r="C664" s="2" t="s">
        <v>83</v>
      </c>
      <c r="D664" s="6">
        <v>1567.55</v>
      </c>
      <c r="E664" s="6">
        <v>3.0</v>
      </c>
      <c r="F664" s="7">
        <v>4702.65</v>
      </c>
      <c r="G664" s="2" t="s">
        <v>2062</v>
      </c>
      <c r="H664" s="2" t="s">
        <v>2063</v>
      </c>
      <c r="I664" s="2" t="s">
        <v>2064</v>
      </c>
    </row>
    <row r="665" ht="15.75" customHeight="1">
      <c r="A665" s="1">
        <v>45648.0</v>
      </c>
      <c r="B665" s="3" t="s">
        <v>9</v>
      </c>
      <c r="C665" s="2" t="s">
        <v>187</v>
      </c>
      <c r="D665" s="6">
        <v>1717.67</v>
      </c>
      <c r="E665" s="6">
        <v>4.0</v>
      </c>
      <c r="F665" s="7">
        <v>6870.68</v>
      </c>
      <c r="G665" s="2" t="s">
        <v>2065</v>
      </c>
      <c r="H665" s="2" t="s">
        <v>2066</v>
      </c>
      <c r="I665" s="2" t="s">
        <v>2067</v>
      </c>
    </row>
    <row r="666" ht="15.75" customHeight="1">
      <c r="A666" s="1">
        <v>45648.0</v>
      </c>
      <c r="B666" s="2" t="s">
        <v>34</v>
      </c>
      <c r="C666" s="2" t="s">
        <v>183</v>
      </c>
      <c r="D666" s="6">
        <v>778.63</v>
      </c>
      <c r="E666" s="6">
        <v>1.0</v>
      </c>
      <c r="F666" s="7">
        <v>778.63</v>
      </c>
      <c r="G666" s="2" t="s">
        <v>2068</v>
      </c>
      <c r="H666" s="2" t="s">
        <v>2069</v>
      </c>
      <c r="I666" s="2" t="s">
        <v>2070</v>
      </c>
    </row>
    <row r="667" ht="15.75" customHeight="1">
      <c r="A667" s="1">
        <v>45648.0</v>
      </c>
      <c r="B667" s="3" t="s">
        <v>9</v>
      </c>
      <c r="C667" s="2" t="s">
        <v>230</v>
      </c>
      <c r="D667" s="6">
        <v>2251.92</v>
      </c>
      <c r="E667" s="6">
        <v>5.0</v>
      </c>
      <c r="F667" s="7">
        <v>11259.6</v>
      </c>
      <c r="G667" s="2" t="s">
        <v>2071</v>
      </c>
      <c r="H667" s="2" t="s">
        <v>2072</v>
      </c>
      <c r="I667" s="2" t="s">
        <v>2073</v>
      </c>
    </row>
    <row r="668" ht="15.75" customHeight="1">
      <c r="A668" s="1">
        <v>45648.0</v>
      </c>
      <c r="B668" s="3" t="s">
        <v>74</v>
      </c>
      <c r="C668" s="2" t="s">
        <v>183</v>
      </c>
      <c r="D668" s="6">
        <v>1770.14</v>
      </c>
      <c r="E668" s="6">
        <v>1.0</v>
      </c>
      <c r="F668" s="7">
        <v>1770.14</v>
      </c>
      <c r="G668" s="2" t="s">
        <v>2074</v>
      </c>
      <c r="H668" s="2" t="s">
        <v>2075</v>
      </c>
      <c r="I668" s="2" t="s">
        <v>2076</v>
      </c>
    </row>
    <row r="669" ht="15.75" customHeight="1">
      <c r="A669" s="1">
        <v>45648.0</v>
      </c>
      <c r="B669" s="3" t="s">
        <v>9</v>
      </c>
      <c r="C669" s="2" t="s">
        <v>70</v>
      </c>
      <c r="D669" s="6">
        <v>489.63</v>
      </c>
      <c r="E669" s="6">
        <v>1.0</v>
      </c>
      <c r="F669" s="7">
        <v>489.63</v>
      </c>
      <c r="G669" s="2" t="s">
        <v>2077</v>
      </c>
      <c r="H669" s="2" t="s">
        <v>2078</v>
      </c>
      <c r="I669" s="2" t="s">
        <v>2079</v>
      </c>
    </row>
    <row r="670" ht="15.75" customHeight="1">
      <c r="A670" s="1">
        <v>45649.0</v>
      </c>
      <c r="B670" s="2" t="s">
        <v>57</v>
      </c>
      <c r="C670" s="2" t="s">
        <v>66</v>
      </c>
      <c r="D670" s="6">
        <v>625.26</v>
      </c>
      <c r="E670" s="6">
        <v>5.0</v>
      </c>
      <c r="F670" s="7">
        <v>3126.3</v>
      </c>
      <c r="G670" s="2" t="s">
        <v>2080</v>
      </c>
      <c r="H670" s="2" t="s">
        <v>2081</v>
      </c>
      <c r="I670" s="2" t="s">
        <v>2082</v>
      </c>
    </row>
    <row r="671" ht="15.75" customHeight="1">
      <c r="A671" s="1">
        <v>45649.0</v>
      </c>
      <c r="B671" s="3" t="s">
        <v>9</v>
      </c>
      <c r="C671" s="2" t="s">
        <v>316</v>
      </c>
      <c r="D671" s="6">
        <v>784.39</v>
      </c>
      <c r="E671" s="6">
        <v>1.0</v>
      </c>
      <c r="F671" s="7">
        <v>784.39</v>
      </c>
      <c r="G671" s="2" t="s">
        <v>2083</v>
      </c>
      <c r="H671" s="2" t="s">
        <v>2084</v>
      </c>
      <c r="I671" s="2" t="s">
        <v>2085</v>
      </c>
    </row>
    <row r="672" ht="15.75" customHeight="1">
      <c r="A672" s="1">
        <v>45649.0</v>
      </c>
      <c r="B672" s="2" t="s">
        <v>57</v>
      </c>
      <c r="C672" s="2" t="s">
        <v>289</v>
      </c>
      <c r="D672" s="6">
        <v>1719.53</v>
      </c>
      <c r="E672" s="6">
        <v>2.0</v>
      </c>
      <c r="F672" s="7">
        <v>3439.06</v>
      </c>
      <c r="G672" s="2" t="s">
        <v>2086</v>
      </c>
      <c r="H672" s="2" t="s">
        <v>2087</v>
      </c>
      <c r="I672" s="2" t="s">
        <v>2088</v>
      </c>
    </row>
    <row r="673" ht="15.75" customHeight="1">
      <c r="A673" s="1">
        <v>45649.0</v>
      </c>
      <c r="B673" s="3" t="s">
        <v>14</v>
      </c>
      <c r="C673" s="2" t="s">
        <v>58</v>
      </c>
      <c r="D673" s="6">
        <v>861.73</v>
      </c>
      <c r="E673" s="6">
        <v>5.0</v>
      </c>
      <c r="F673" s="7">
        <v>4308.65</v>
      </c>
      <c r="G673" s="2" t="s">
        <v>2089</v>
      </c>
      <c r="H673" s="2" t="s">
        <v>2090</v>
      </c>
      <c r="I673" s="2" t="s">
        <v>2091</v>
      </c>
    </row>
    <row r="674" ht="15.75" customHeight="1">
      <c r="A674" s="1">
        <v>45649.0</v>
      </c>
      <c r="B674" s="3" t="s">
        <v>14</v>
      </c>
      <c r="C674" s="2" t="s">
        <v>252</v>
      </c>
      <c r="D674" s="6">
        <v>988.8</v>
      </c>
      <c r="E674" s="6">
        <v>5.0</v>
      </c>
      <c r="F674" s="7">
        <v>4944.0</v>
      </c>
      <c r="G674" s="2" t="s">
        <v>2092</v>
      </c>
      <c r="H674" s="2" t="s">
        <v>2093</v>
      </c>
      <c r="I674" s="2" t="s">
        <v>2094</v>
      </c>
    </row>
    <row r="675" ht="15.75" customHeight="1">
      <c r="A675" s="1">
        <v>45649.0</v>
      </c>
      <c r="B675" s="3" t="s">
        <v>9</v>
      </c>
      <c r="C675" s="2" t="s">
        <v>308</v>
      </c>
      <c r="D675" s="6">
        <v>1696.63</v>
      </c>
      <c r="E675" s="6">
        <v>4.0</v>
      </c>
      <c r="F675" s="7">
        <v>6786.52</v>
      </c>
      <c r="G675" s="2" t="s">
        <v>2095</v>
      </c>
      <c r="H675" s="2" t="s">
        <v>2096</v>
      </c>
      <c r="I675" s="2" t="s">
        <v>2097</v>
      </c>
    </row>
    <row r="676" ht="15.75" customHeight="1">
      <c r="A676" s="1">
        <v>45649.0</v>
      </c>
      <c r="B676" s="3" t="s">
        <v>29</v>
      </c>
      <c r="C676" s="2" t="s">
        <v>88</v>
      </c>
      <c r="D676" s="6">
        <v>1663.22</v>
      </c>
      <c r="E676" s="6">
        <v>5.0</v>
      </c>
      <c r="F676" s="7">
        <v>8316.1</v>
      </c>
      <c r="G676" s="2" t="s">
        <v>2098</v>
      </c>
      <c r="H676" s="2" t="s">
        <v>2099</v>
      </c>
      <c r="I676" s="2" t="s">
        <v>2100</v>
      </c>
    </row>
    <row r="677" ht="15.75" customHeight="1">
      <c r="A677" s="1">
        <v>45649.0</v>
      </c>
      <c r="B677" s="3" t="s">
        <v>9</v>
      </c>
      <c r="C677" s="2" t="s">
        <v>269</v>
      </c>
      <c r="D677" s="6">
        <v>1991.97</v>
      </c>
      <c r="E677" s="6">
        <v>3.0</v>
      </c>
      <c r="F677" s="7">
        <v>5975.91</v>
      </c>
      <c r="G677" s="2" t="s">
        <v>2101</v>
      </c>
      <c r="H677" s="2" t="s">
        <v>2102</v>
      </c>
      <c r="I677" s="2" t="s">
        <v>2103</v>
      </c>
    </row>
    <row r="678" ht="15.75" customHeight="1">
      <c r="A678" s="1">
        <v>45649.0</v>
      </c>
      <c r="B678" s="3" t="s">
        <v>29</v>
      </c>
      <c r="C678" s="2" t="s">
        <v>83</v>
      </c>
      <c r="D678" s="6">
        <v>1918.04</v>
      </c>
      <c r="E678" s="6">
        <v>5.0</v>
      </c>
      <c r="F678" s="7">
        <v>9590.2</v>
      </c>
      <c r="G678" s="2" t="s">
        <v>2104</v>
      </c>
      <c r="H678" s="2" t="s">
        <v>2105</v>
      </c>
      <c r="I678" s="2" t="s">
        <v>2106</v>
      </c>
    </row>
    <row r="679" ht="15.75" customHeight="1">
      <c r="A679" s="1">
        <v>45649.0</v>
      </c>
      <c r="B679" s="3" t="s">
        <v>74</v>
      </c>
      <c r="C679" s="2" t="s">
        <v>35</v>
      </c>
      <c r="D679" s="6">
        <v>2115.54</v>
      </c>
      <c r="E679" s="6">
        <v>5.0</v>
      </c>
      <c r="F679" s="7">
        <v>10577.7</v>
      </c>
      <c r="G679" s="2" t="s">
        <v>2107</v>
      </c>
      <c r="H679" s="2" t="s">
        <v>2108</v>
      </c>
      <c r="I679" s="2" t="s">
        <v>2109</v>
      </c>
    </row>
    <row r="680" ht="15.75" customHeight="1">
      <c r="A680" s="1">
        <v>45649.0</v>
      </c>
      <c r="B680" s="2" t="s">
        <v>34</v>
      </c>
      <c r="C680" s="2" t="s">
        <v>151</v>
      </c>
      <c r="D680" s="6">
        <v>2469.75</v>
      </c>
      <c r="E680" s="6">
        <v>5.0</v>
      </c>
      <c r="F680" s="7">
        <v>12348.75</v>
      </c>
      <c r="G680" s="2" t="s">
        <v>2110</v>
      </c>
      <c r="H680" s="2" t="s">
        <v>2111</v>
      </c>
      <c r="I680" s="2" t="s">
        <v>2112</v>
      </c>
    </row>
    <row r="681" ht="15.75" customHeight="1">
      <c r="A681" s="1">
        <v>45649.0</v>
      </c>
      <c r="B681" s="3" t="s">
        <v>9</v>
      </c>
      <c r="C681" s="2" t="s">
        <v>75</v>
      </c>
      <c r="D681" s="6">
        <v>2174.89</v>
      </c>
      <c r="E681" s="6">
        <v>2.0</v>
      </c>
      <c r="F681" s="7">
        <v>4349.78</v>
      </c>
      <c r="G681" s="2" t="s">
        <v>2113</v>
      </c>
      <c r="H681" s="2" t="s">
        <v>2114</v>
      </c>
      <c r="I681" s="2" t="s">
        <v>2115</v>
      </c>
    </row>
    <row r="682" ht="15.75" customHeight="1">
      <c r="A682" s="1">
        <v>45649.0</v>
      </c>
      <c r="B682" s="3" t="s">
        <v>9</v>
      </c>
      <c r="C682" s="2" t="s">
        <v>316</v>
      </c>
      <c r="D682" s="6">
        <v>1148.92</v>
      </c>
      <c r="E682" s="6">
        <v>4.0</v>
      </c>
      <c r="F682" s="7">
        <v>4595.68</v>
      </c>
      <c r="G682" s="2" t="s">
        <v>2116</v>
      </c>
      <c r="H682" s="2" t="s">
        <v>2117</v>
      </c>
      <c r="I682" s="2" t="s">
        <v>2118</v>
      </c>
    </row>
    <row r="683" ht="15.75" customHeight="1">
      <c r="A683" s="1">
        <v>45650.0</v>
      </c>
      <c r="B683" s="3" t="s">
        <v>29</v>
      </c>
      <c r="C683" s="2" t="s">
        <v>79</v>
      </c>
      <c r="D683" s="6">
        <v>1247.53</v>
      </c>
      <c r="E683" s="6">
        <v>4.0</v>
      </c>
      <c r="F683" s="7">
        <v>4990.12</v>
      </c>
      <c r="G683" s="2" t="s">
        <v>2119</v>
      </c>
      <c r="H683" s="2" t="s">
        <v>2120</v>
      </c>
      <c r="I683" s="2" t="s">
        <v>2121</v>
      </c>
    </row>
    <row r="684" ht="15.75" customHeight="1">
      <c r="A684" s="1">
        <v>45650.0</v>
      </c>
      <c r="B684" s="2" t="s">
        <v>34</v>
      </c>
      <c r="C684" s="2" t="s">
        <v>370</v>
      </c>
      <c r="D684" s="6">
        <v>758.87</v>
      </c>
      <c r="E684" s="6">
        <v>3.0</v>
      </c>
      <c r="F684" s="7">
        <v>2276.61</v>
      </c>
      <c r="G684" s="2" t="s">
        <v>2122</v>
      </c>
      <c r="H684" s="2" t="s">
        <v>2123</v>
      </c>
      <c r="I684" s="8" t="s">
        <v>2124</v>
      </c>
    </row>
    <row r="685" ht="15.75" customHeight="1">
      <c r="A685" s="1">
        <v>45650.0</v>
      </c>
      <c r="B685" s="3" t="s">
        <v>74</v>
      </c>
      <c r="C685" s="2" t="s">
        <v>119</v>
      </c>
      <c r="D685" s="6">
        <v>2441.7</v>
      </c>
      <c r="E685" s="6">
        <v>2.0</v>
      </c>
      <c r="F685" s="7">
        <v>4883.4</v>
      </c>
      <c r="G685" s="2" t="s">
        <v>2125</v>
      </c>
      <c r="H685" s="2" t="s">
        <v>2126</v>
      </c>
      <c r="I685" s="2" t="s">
        <v>2127</v>
      </c>
    </row>
    <row r="686" ht="15.75" customHeight="1">
      <c r="A686" s="1">
        <v>45650.0</v>
      </c>
      <c r="B686" s="3" t="s">
        <v>14</v>
      </c>
      <c r="C686" s="2" t="s">
        <v>66</v>
      </c>
      <c r="D686" s="6">
        <v>366.39</v>
      </c>
      <c r="E686" s="6">
        <v>4.0</v>
      </c>
      <c r="F686" s="7">
        <v>1465.56</v>
      </c>
      <c r="G686" s="2" t="s">
        <v>2128</v>
      </c>
      <c r="H686" s="2" t="s">
        <v>2129</v>
      </c>
      <c r="I686" s="2" t="s">
        <v>2130</v>
      </c>
    </row>
    <row r="687" ht="15.75" customHeight="1">
      <c r="A687" s="1">
        <v>45650.0</v>
      </c>
      <c r="B687" s="3" t="s">
        <v>14</v>
      </c>
      <c r="C687" s="2" t="s">
        <v>49</v>
      </c>
      <c r="D687" s="6">
        <v>306.11</v>
      </c>
      <c r="E687" s="6">
        <v>2.0</v>
      </c>
      <c r="F687" s="7">
        <v>612.22</v>
      </c>
      <c r="G687" s="2" t="s">
        <v>2131</v>
      </c>
      <c r="H687" s="2" t="s">
        <v>2132</v>
      </c>
      <c r="I687" s="2" t="s">
        <v>2133</v>
      </c>
    </row>
    <row r="688" ht="15.75" customHeight="1">
      <c r="A688" s="1">
        <v>45650.0</v>
      </c>
      <c r="B688" s="3" t="s">
        <v>29</v>
      </c>
      <c r="C688" s="2" t="s">
        <v>119</v>
      </c>
      <c r="D688" s="6">
        <v>988.44</v>
      </c>
      <c r="E688" s="6">
        <v>2.0</v>
      </c>
      <c r="F688" s="7">
        <v>1976.88</v>
      </c>
      <c r="G688" s="2" t="s">
        <v>2134</v>
      </c>
      <c r="H688" s="2" t="s">
        <v>2135</v>
      </c>
      <c r="I688" s="2" t="s">
        <v>2136</v>
      </c>
    </row>
    <row r="689" ht="15.75" customHeight="1">
      <c r="A689" s="1">
        <v>45650.0</v>
      </c>
      <c r="B689" s="3" t="s">
        <v>14</v>
      </c>
      <c r="C689" s="2" t="s">
        <v>279</v>
      </c>
      <c r="D689" s="6">
        <v>2003.92</v>
      </c>
      <c r="E689" s="6">
        <v>2.0</v>
      </c>
      <c r="F689" s="7">
        <v>4007.84</v>
      </c>
      <c r="G689" s="2" t="s">
        <v>2137</v>
      </c>
      <c r="H689" s="2" t="s">
        <v>2138</v>
      </c>
      <c r="I689" s="2" t="s">
        <v>2139</v>
      </c>
    </row>
    <row r="690" ht="15.75" customHeight="1">
      <c r="A690" s="1">
        <v>45650.0</v>
      </c>
      <c r="B690" s="2" t="s">
        <v>34</v>
      </c>
      <c r="C690" s="2" t="s">
        <v>119</v>
      </c>
      <c r="D690" s="6">
        <v>519.68</v>
      </c>
      <c r="E690" s="6">
        <v>5.0</v>
      </c>
      <c r="F690" s="7">
        <v>2598.4</v>
      </c>
      <c r="G690" s="2" t="s">
        <v>2140</v>
      </c>
      <c r="H690" s="2" t="s">
        <v>2141</v>
      </c>
      <c r="I690" s="2" t="s">
        <v>2142</v>
      </c>
    </row>
    <row r="691" ht="15.75" customHeight="1">
      <c r="A691" s="1">
        <v>45650.0</v>
      </c>
      <c r="B691" s="2" t="s">
        <v>34</v>
      </c>
      <c r="C691" s="2" t="s">
        <v>115</v>
      </c>
      <c r="D691" s="6">
        <v>920.71</v>
      </c>
      <c r="E691" s="6">
        <v>4.0</v>
      </c>
      <c r="F691" s="7">
        <v>3682.84</v>
      </c>
      <c r="G691" s="2" t="s">
        <v>2143</v>
      </c>
      <c r="H691" s="2" t="s">
        <v>2144</v>
      </c>
      <c r="I691" s="2" t="s">
        <v>2145</v>
      </c>
    </row>
    <row r="692" ht="15.75" customHeight="1">
      <c r="A692" s="1">
        <v>45650.0</v>
      </c>
      <c r="B692" s="3" t="s">
        <v>29</v>
      </c>
      <c r="C692" s="2" t="s">
        <v>83</v>
      </c>
      <c r="D692" s="6">
        <v>1089.03</v>
      </c>
      <c r="E692" s="6">
        <v>5.0</v>
      </c>
      <c r="F692" s="7">
        <v>5445.15</v>
      </c>
      <c r="G692" s="2" t="s">
        <v>2146</v>
      </c>
      <c r="H692" s="2" t="s">
        <v>2147</v>
      </c>
      <c r="I692" s="2" t="s">
        <v>2148</v>
      </c>
    </row>
    <row r="693" ht="15.75" customHeight="1">
      <c r="A693" s="1">
        <v>45650.0</v>
      </c>
      <c r="B693" s="2" t="s">
        <v>34</v>
      </c>
      <c r="C693" s="2" t="s">
        <v>230</v>
      </c>
      <c r="D693" s="6">
        <v>500.74</v>
      </c>
      <c r="E693" s="6">
        <v>4.0</v>
      </c>
      <c r="F693" s="7">
        <v>2002.96</v>
      </c>
      <c r="G693" s="2" t="s">
        <v>2149</v>
      </c>
      <c r="H693" s="2" t="s">
        <v>2150</v>
      </c>
      <c r="I693" s="2" t="s">
        <v>2151</v>
      </c>
    </row>
    <row r="694" ht="15.75" customHeight="1">
      <c r="A694" s="1">
        <v>45651.0</v>
      </c>
      <c r="B694" s="3" t="s">
        <v>9</v>
      </c>
      <c r="C694" s="2" t="s">
        <v>161</v>
      </c>
      <c r="D694" s="6">
        <v>1047.88</v>
      </c>
      <c r="E694" s="6">
        <v>3.0</v>
      </c>
      <c r="F694" s="7">
        <v>3143.64</v>
      </c>
      <c r="G694" s="2" t="s">
        <v>2152</v>
      </c>
      <c r="H694" s="2" t="s">
        <v>2153</v>
      </c>
      <c r="I694" s="2" t="s">
        <v>2154</v>
      </c>
    </row>
    <row r="695" ht="15.75" customHeight="1">
      <c r="A695" s="1">
        <v>45651.0</v>
      </c>
      <c r="B695" s="3" t="s">
        <v>74</v>
      </c>
      <c r="C695" s="2" t="s">
        <v>137</v>
      </c>
      <c r="D695" s="6">
        <v>228.56</v>
      </c>
      <c r="E695" s="6">
        <v>3.0</v>
      </c>
      <c r="F695" s="7">
        <v>685.68</v>
      </c>
      <c r="G695" s="2" t="s">
        <v>2155</v>
      </c>
      <c r="H695" s="2" t="s">
        <v>2156</v>
      </c>
      <c r="I695" s="2" t="s">
        <v>2157</v>
      </c>
    </row>
    <row r="696" ht="15.75" customHeight="1">
      <c r="A696" s="1">
        <v>45651.0</v>
      </c>
      <c r="B696" s="3" t="s">
        <v>74</v>
      </c>
      <c r="C696" s="2" t="s">
        <v>316</v>
      </c>
      <c r="D696" s="6">
        <v>1068.29</v>
      </c>
      <c r="E696" s="6">
        <v>4.0</v>
      </c>
      <c r="F696" s="7">
        <v>4273.16</v>
      </c>
      <c r="G696" s="2" t="s">
        <v>2158</v>
      </c>
      <c r="H696" s="2" t="s">
        <v>2159</v>
      </c>
      <c r="I696" s="2" t="s">
        <v>2160</v>
      </c>
    </row>
    <row r="697" ht="15.75" customHeight="1">
      <c r="A697" s="1">
        <v>45651.0</v>
      </c>
      <c r="B697" s="3" t="s">
        <v>9</v>
      </c>
      <c r="C697" s="2" t="s">
        <v>396</v>
      </c>
      <c r="D697" s="6">
        <v>173.94</v>
      </c>
      <c r="E697" s="6">
        <v>5.0</v>
      </c>
      <c r="F697" s="7">
        <v>869.7</v>
      </c>
      <c r="G697" s="2" t="s">
        <v>2161</v>
      </c>
      <c r="H697" s="2" t="s">
        <v>2162</v>
      </c>
      <c r="I697" s="2" t="s">
        <v>2163</v>
      </c>
    </row>
    <row r="698" ht="15.75" customHeight="1">
      <c r="A698" s="1">
        <v>45651.0</v>
      </c>
      <c r="B698" s="3" t="s">
        <v>14</v>
      </c>
      <c r="C698" s="2" t="s">
        <v>169</v>
      </c>
      <c r="D698" s="6">
        <v>2271.98</v>
      </c>
      <c r="E698" s="6">
        <v>5.0</v>
      </c>
      <c r="F698" s="7">
        <v>11359.9</v>
      </c>
      <c r="G698" s="2" t="s">
        <v>2164</v>
      </c>
      <c r="H698" s="2" t="s">
        <v>2165</v>
      </c>
      <c r="I698" s="2" t="s">
        <v>2166</v>
      </c>
    </row>
    <row r="699" ht="15.75" customHeight="1">
      <c r="A699" s="1">
        <v>45651.0</v>
      </c>
      <c r="B699" s="3" t="s">
        <v>74</v>
      </c>
      <c r="C699" s="2" t="s">
        <v>119</v>
      </c>
      <c r="D699" s="6">
        <v>2461.45</v>
      </c>
      <c r="E699" s="6">
        <v>4.0</v>
      </c>
      <c r="F699" s="7">
        <v>9845.8</v>
      </c>
      <c r="G699" s="2" t="s">
        <v>2167</v>
      </c>
      <c r="H699" s="2" t="s">
        <v>2168</v>
      </c>
      <c r="I699" s="2" t="s">
        <v>2169</v>
      </c>
    </row>
    <row r="700" ht="15.75" customHeight="1">
      <c r="A700" s="1">
        <v>45651.0</v>
      </c>
      <c r="B700" s="3" t="s">
        <v>74</v>
      </c>
      <c r="C700" s="2" t="s">
        <v>92</v>
      </c>
      <c r="D700" s="6">
        <v>848.42</v>
      </c>
      <c r="E700" s="6">
        <v>3.0</v>
      </c>
      <c r="F700" s="7">
        <v>2545.26</v>
      </c>
      <c r="G700" s="2" t="s">
        <v>2170</v>
      </c>
      <c r="H700" s="2" t="s">
        <v>2171</v>
      </c>
      <c r="I700" s="8" t="s">
        <v>2172</v>
      </c>
    </row>
    <row r="701" ht="15.75" customHeight="1">
      <c r="A701" s="1">
        <v>45651.0</v>
      </c>
      <c r="B701" s="3" t="s">
        <v>9</v>
      </c>
      <c r="C701" s="2" t="s">
        <v>427</v>
      </c>
      <c r="D701" s="6">
        <v>2334.37</v>
      </c>
      <c r="E701" s="6">
        <v>1.0</v>
      </c>
      <c r="F701" s="7">
        <v>2334.37</v>
      </c>
      <c r="G701" s="2" t="s">
        <v>2173</v>
      </c>
      <c r="H701" s="2" t="s">
        <v>2174</v>
      </c>
      <c r="I701" s="2" t="s">
        <v>2175</v>
      </c>
    </row>
    <row r="702" ht="15.75" customHeight="1">
      <c r="A702" s="1">
        <v>45651.0</v>
      </c>
      <c r="B702" s="3" t="s">
        <v>74</v>
      </c>
      <c r="C702" s="2" t="s">
        <v>230</v>
      </c>
      <c r="D702" s="6">
        <v>648.35</v>
      </c>
      <c r="E702" s="6">
        <v>5.0</v>
      </c>
      <c r="F702" s="7">
        <v>3241.75</v>
      </c>
      <c r="G702" s="2" t="s">
        <v>2176</v>
      </c>
      <c r="H702" s="2" t="s">
        <v>2177</v>
      </c>
      <c r="I702" s="2" t="s">
        <v>2178</v>
      </c>
    </row>
    <row r="703" ht="15.75" customHeight="1">
      <c r="A703" s="1">
        <v>45652.0</v>
      </c>
      <c r="B703" s="3" t="s">
        <v>74</v>
      </c>
      <c r="C703" s="2" t="s">
        <v>183</v>
      </c>
      <c r="D703" s="6">
        <v>1794.09</v>
      </c>
      <c r="E703" s="6">
        <v>5.0</v>
      </c>
      <c r="F703" s="7">
        <v>8970.45</v>
      </c>
      <c r="G703" s="2" t="s">
        <v>2179</v>
      </c>
      <c r="H703" s="2" t="s">
        <v>2180</v>
      </c>
      <c r="I703" s="2" t="s">
        <v>2181</v>
      </c>
    </row>
    <row r="704" ht="15.75" customHeight="1">
      <c r="A704" s="1">
        <v>45652.0</v>
      </c>
      <c r="B704" s="3" t="s">
        <v>29</v>
      </c>
      <c r="C704" s="2" t="s">
        <v>22</v>
      </c>
      <c r="D704" s="6">
        <v>658.24</v>
      </c>
      <c r="E704" s="6">
        <v>3.0</v>
      </c>
      <c r="F704" s="7">
        <v>1974.72</v>
      </c>
      <c r="G704" s="2" t="s">
        <v>2182</v>
      </c>
      <c r="H704" s="2" t="s">
        <v>2183</v>
      </c>
      <c r="I704" s="2" t="s">
        <v>2184</v>
      </c>
    </row>
    <row r="705" ht="15.75" customHeight="1">
      <c r="A705" s="1">
        <v>45652.0</v>
      </c>
      <c r="B705" s="2" t="s">
        <v>57</v>
      </c>
      <c r="C705" s="2" t="s">
        <v>75</v>
      </c>
      <c r="D705" s="6">
        <v>824.79</v>
      </c>
      <c r="E705" s="6">
        <v>4.0</v>
      </c>
      <c r="F705" s="7">
        <v>3299.16</v>
      </c>
      <c r="G705" s="2" t="s">
        <v>2185</v>
      </c>
      <c r="H705" s="2" t="s">
        <v>2186</v>
      </c>
      <c r="I705" s="2" t="s">
        <v>2187</v>
      </c>
    </row>
    <row r="706" ht="15.75" customHeight="1">
      <c r="A706" s="1">
        <v>45652.0</v>
      </c>
      <c r="B706" s="2" t="s">
        <v>34</v>
      </c>
      <c r="C706" s="2" t="s">
        <v>386</v>
      </c>
      <c r="D706" s="6">
        <v>1056.48</v>
      </c>
      <c r="E706" s="6">
        <v>4.0</v>
      </c>
      <c r="F706" s="7">
        <v>4225.92</v>
      </c>
      <c r="G706" s="2" t="s">
        <v>2188</v>
      </c>
      <c r="H706" s="2" t="s">
        <v>2189</v>
      </c>
      <c r="I706" s="2" t="s">
        <v>2190</v>
      </c>
    </row>
    <row r="707" ht="15.75" customHeight="1">
      <c r="A707" s="1">
        <v>45652.0</v>
      </c>
      <c r="B707" s="3" t="s">
        <v>9</v>
      </c>
      <c r="C707" s="2" t="s">
        <v>370</v>
      </c>
      <c r="D707" s="6">
        <v>932.02</v>
      </c>
      <c r="E707" s="6">
        <v>4.0</v>
      </c>
      <c r="F707" s="7">
        <v>3728.08</v>
      </c>
      <c r="G707" s="2" t="s">
        <v>2191</v>
      </c>
      <c r="H707" s="2" t="s">
        <v>2192</v>
      </c>
      <c r="I707" s="2" t="s">
        <v>2193</v>
      </c>
    </row>
    <row r="708" ht="15.75" customHeight="1">
      <c r="A708" s="1">
        <v>45652.0</v>
      </c>
      <c r="B708" s="2" t="s">
        <v>57</v>
      </c>
      <c r="C708" s="2" t="s">
        <v>341</v>
      </c>
      <c r="D708" s="6">
        <v>2140.33</v>
      </c>
      <c r="E708" s="6">
        <v>5.0</v>
      </c>
      <c r="F708" s="7">
        <v>10701.65</v>
      </c>
      <c r="G708" s="2" t="s">
        <v>2194</v>
      </c>
      <c r="H708" s="2" t="s">
        <v>2195</v>
      </c>
      <c r="I708" s="2" t="s">
        <v>2196</v>
      </c>
    </row>
    <row r="709" ht="15.75" customHeight="1">
      <c r="A709" s="1">
        <v>45652.0</v>
      </c>
      <c r="B709" s="3" t="s">
        <v>74</v>
      </c>
      <c r="C709" s="2" t="s">
        <v>39</v>
      </c>
      <c r="D709" s="6">
        <v>554.25</v>
      </c>
      <c r="E709" s="6">
        <v>1.0</v>
      </c>
      <c r="F709" s="7">
        <v>554.25</v>
      </c>
      <c r="G709" s="2" t="s">
        <v>2197</v>
      </c>
      <c r="H709" s="2" t="s">
        <v>2198</v>
      </c>
      <c r="I709" s="2" t="s">
        <v>2199</v>
      </c>
    </row>
    <row r="710" ht="15.75" customHeight="1">
      <c r="A710" s="1">
        <v>45652.0</v>
      </c>
      <c r="B710" s="2" t="s">
        <v>57</v>
      </c>
      <c r="C710" s="2" t="s">
        <v>370</v>
      </c>
      <c r="D710" s="6">
        <v>173.36</v>
      </c>
      <c r="E710" s="6">
        <v>2.0</v>
      </c>
      <c r="F710" s="7">
        <v>346.72</v>
      </c>
      <c r="G710" s="2" t="s">
        <v>2200</v>
      </c>
      <c r="H710" s="2" t="s">
        <v>2201</v>
      </c>
      <c r="I710" s="2" t="s">
        <v>2202</v>
      </c>
    </row>
    <row r="711" ht="15.75" customHeight="1">
      <c r="A711" s="1">
        <v>45653.0</v>
      </c>
      <c r="B711" s="3" t="s">
        <v>29</v>
      </c>
      <c r="C711" s="2" t="s">
        <v>10</v>
      </c>
      <c r="D711" s="6">
        <v>1935.15</v>
      </c>
      <c r="E711" s="6">
        <v>3.0</v>
      </c>
      <c r="F711" s="7">
        <v>5805.45</v>
      </c>
      <c r="G711" s="2" t="s">
        <v>2203</v>
      </c>
      <c r="H711" s="2" t="s">
        <v>2204</v>
      </c>
      <c r="I711" s="2" t="s">
        <v>2205</v>
      </c>
    </row>
    <row r="712" ht="15.75" customHeight="1">
      <c r="A712" s="1">
        <v>45653.0</v>
      </c>
      <c r="B712" s="3" t="s">
        <v>74</v>
      </c>
      <c r="C712" s="2" t="s">
        <v>427</v>
      </c>
      <c r="D712" s="6">
        <v>1923.56</v>
      </c>
      <c r="E712" s="6">
        <v>4.0</v>
      </c>
      <c r="F712" s="7">
        <v>7694.24</v>
      </c>
      <c r="G712" s="2" t="s">
        <v>2206</v>
      </c>
      <c r="H712" s="2" t="s">
        <v>2207</v>
      </c>
      <c r="I712" s="2" t="s">
        <v>2208</v>
      </c>
    </row>
    <row r="713" ht="15.75" customHeight="1">
      <c r="A713" s="1">
        <v>45653.0</v>
      </c>
      <c r="B713" s="3" t="s">
        <v>74</v>
      </c>
      <c r="C713" s="2" t="s">
        <v>386</v>
      </c>
      <c r="D713" s="6">
        <v>2263.78</v>
      </c>
      <c r="E713" s="6">
        <v>5.0</v>
      </c>
      <c r="F713" s="7">
        <v>11318.9</v>
      </c>
      <c r="G713" s="2" t="s">
        <v>2209</v>
      </c>
      <c r="H713" s="2" t="s">
        <v>2210</v>
      </c>
      <c r="I713" s="2" t="s">
        <v>2211</v>
      </c>
    </row>
    <row r="714" ht="15.75" customHeight="1">
      <c r="A714" s="1">
        <v>45653.0</v>
      </c>
      <c r="B714" s="3" t="s">
        <v>14</v>
      </c>
      <c r="C714" s="2" t="s">
        <v>53</v>
      </c>
      <c r="D714" s="6">
        <v>1831.56</v>
      </c>
      <c r="E714" s="6">
        <v>2.0</v>
      </c>
      <c r="F714" s="7">
        <v>3663.12</v>
      </c>
      <c r="G714" s="2" t="s">
        <v>2212</v>
      </c>
      <c r="H714" s="2" t="s">
        <v>2213</v>
      </c>
      <c r="I714" s="2" t="s">
        <v>2214</v>
      </c>
    </row>
    <row r="715" ht="15.75" customHeight="1">
      <c r="A715" s="1">
        <v>45653.0</v>
      </c>
      <c r="B715" s="2" t="s">
        <v>57</v>
      </c>
      <c r="C715" s="2" t="s">
        <v>662</v>
      </c>
      <c r="D715" s="6">
        <v>1191.71</v>
      </c>
      <c r="E715" s="6">
        <v>4.0</v>
      </c>
      <c r="F715" s="7">
        <v>4766.84</v>
      </c>
      <c r="G715" s="2" t="s">
        <v>2215</v>
      </c>
      <c r="H715" s="2" t="s">
        <v>2216</v>
      </c>
      <c r="I715" s="2" t="s">
        <v>2217</v>
      </c>
    </row>
    <row r="716" ht="15.75" customHeight="1">
      <c r="A716" s="1">
        <v>45653.0</v>
      </c>
      <c r="B716" s="3" t="s">
        <v>9</v>
      </c>
      <c r="C716" s="2" t="s">
        <v>79</v>
      </c>
      <c r="D716" s="6">
        <v>314.84</v>
      </c>
      <c r="E716" s="6">
        <v>1.0</v>
      </c>
      <c r="F716" s="7">
        <v>314.84</v>
      </c>
      <c r="G716" s="2" t="s">
        <v>2218</v>
      </c>
      <c r="H716" s="2" t="s">
        <v>2219</v>
      </c>
      <c r="I716" s="8" t="s">
        <v>2220</v>
      </c>
    </row>
    <row r="717" ht="15.75" customHeight="1">
      <c r="A717" s="1">
        <v>45654.0</v>
      </c>
      <c r="B717" s="3" t="s">
        <v>9</v>
      </c>
      <c r="C717" s="2" t="s">
        <v>70</v>
      </c>
      <c r="D717" s="6">
        <v>1724.31</v>
      </c>
      <c r="E717" s="6">
        <v>2.0</v>
      </c>
      <c r="F717" s="7">
        <v>3448.62</v>
      </c>
      <c r="G717" s="2" t="s">
        <v>2221</v>
      </c>
      <c r="H717" s="2" t="s">
        <v>2222</v>
      </c>
      <c r="I717" s="2" t="s">
        <v>2223</v>
      </c>
    </row>
    <row r="718" ht="15.75" customHeight="1">
      <c r="A718" s="1">
        <v>45654.0</v>
      </c>
      <c r="B718" s="3" t="s">
        <v>9</v>
      </c>
      <c r="C718" s="2" t="s">
        <v>62</v>
      </c>
      <c r="D718" s="6">
        <v>372.92</v>
      </c>
      <c r="E718" s="6">
        <v>3.0</v>
      </c>
      <c r="F718" s="7">
        <v>1118.76</v>
      </c>
      <c r="G718" s="2" t="s">
        <v>2224</v>
      </c>
      <c r="H718" s="2" t="s">
        <v>2225</v>
      </c>
      <c r="I718" s="2" t="s">
        <v>2226</v>
      </c>
    </row>
    <row r="719" ht="15.75" customHeight="1">
      <c r="A719" s="1">
        <v>45654.0</v>
      </c>
      <c r="B719" s="3" t="s">
        <v>9</v>
      </c>
      <c r="C719" s="2" t="s">
        <v>137</v>
      </c>
      <c r="D719" s="6">
        <v>589.92</v>
      </c>
      <c r="E719" s="6">
        <v>3.0</v>
      </c>
      <c r="F719" s="7">
        <v>1769.76</v>
      </c>
      <c r="G719" s="2" t="s">
        <v>2227</v>
      </c>
      <c r="H719" s="2" t="s">
        <v>2228</v>
      </c>
      <c r="I719" s="2" t="s">
        <v>2229</v>
      </c>
    </row>
    <row r="720" ht="15.75" customHeight="1">
      <c r="A720" s="1">
        <v>45654.0</v>
      </c>
      <c r="B720" s="3" t="s">
        <v>74</v>
      </c>
      <c r="C720" s="2" t="s">
        <v>161</v>
      </c>
      <c r="D720" s="6">
        <v>702.77</v>
      </c>
      <c r="E720" s="6">
        <v>3.0</v>
      </c>
      <c r="F720" s="7">
        <v>2108.31</v>
      </c>
      <c r="G720" s="2" t="s">
        <v>2230</v>
      </c>
      <c r="H720" s="2" t="s">
        <v>2231</v>
      </c>
      <c r="I720" s="2" t="s">
        <v>2232</v>
      </c>
    </row>
    <row r="721" ht="15.75" customHeight="1">
      <c r="A721" s="1">
        <v>45654.0</v>
      </c>
      <c r="B721" s="3" t="s">
        <v>29</v>
      </c>
      <c r="C721" s="2" t="s">
        <v>53</v>
      </c>
      <c r="D721" s="6">
        <v>2261.12</v>
      </c>
      <c r="E721" s="6">
        <v>4.0</v>
      </c>
      <c r="F721" s="7">
        <v>9044.48</v>
      </c>
      <c r="G721" s="2" t="s">
        <v>2233</v>
      </c>
      <c r="H721" s="2" t="s">
        <v>2234</v>
      </c>
      <c r="I721" s="2" t="s">
        <v>2235</v>
      </c>
    </row>
    <row r="722" ht="15.75" customHeight="1">
      <c r="A722" s="1">
        <v>45654.0</v>
      </c>
      <c r="B722" s="3" t="s">
        <v>9</v>
      </c>
      <c r="C722" s="2" t="s">
        <v>137</v>
      </c>
      <c r="D722" s="6">
        <v>1577.5</v>
      </c>
      <c r="E722" s="6">
        <v>4.0</v>
      </c>
      <c r="F722" s="7">
        <v>6310.0</v>
      </c>
      <c r="G722" s="2" t="s">
        <v>2236</v>
      </c>
      <c r="H722" s="2" t="s">
        <v>2237</v>
      </c>
      <c r="I722" s="2" t="s">
        <v>2238</v>
      </c>
    </row>
    <row r="723" ht="15.75" customHeight="1">
      <c r="A723" s="1">
        <v>45654.0</v>
      </c>
      <c r="B723" s="2" t="s">
        <v>34</v>
      </c>
      <c r="C723" s="2" t="s">
        <v>169</v>
      </c>
      <c r="D723" s="6">
        <v>211.08</v>
      </c>
      <c r="E723" s="6">
        <v>4.0</v>
      </c>
      <c r="F723" s="7">
        <v>844.32</v>
      </c>
      <c r="G723" s="2" t="s">
        <v>2239</v>
      </c>
      <c r="H723" s="2" t="s">
        <v>2240</v>
      </c>
      <c r="I723" s="2" t="s">
        <v>2241</v>
      </c>
    </row>
    <row r="724" ht="15.75" customHeight="1">
      <c r="A724" s="1">
        <v>45654.0</v>
      </c>
      <c r="B724" s="3" t="s">
        <v>29</v>
      </c>
      <c r="C724" s="2" t="s">
        <v>308</v>
      </c>
      <c r="D724" s="6">
        <v>1061.9</v>
      </c>
      <c r="E724" s="6">
        <v>4.0</v>
      </c>
      <c r="F724" s="7">
        <v>4247.6</v>
      </c>
      <c r="G724" s="2" t="s">
        <v>2242</v>
      </c>
      <c r="H724" s="2" t="s">
        <v>2243</v>
      </c>
      <c r="I724" s="2" t="s">
        <v>2244</v>
      </c>
    </row>
    <row r="725" ht="15.75" customHeight="1">
      <c r="A725" s="1">
        <v>45654.0</v>
      </c>
      <c r="B725" s="3" t="s">
        <v>29</v>
      </c>
      <c r="C725" s="2" t="s">
        <v>49</v>
      </c>
      <c r="D725" s="6">
        <v>1152.78</v>
      </c>
      <c r="E725" s="6">
        <v>4.0</v>
      </c>
      <c r="F725" s="7">
        <v>4611.12</v>
      </c>
      <c r="G725" s="2" t="s">
        <v>2245</v>
      </c>
      <c r="H725" s="2" t="s">
        <v>2246</v>
      </c>
      <c r="I725" s="2" t="s">
        <v>2247</v>
      </c>
    </row>
    <row r="726" ht="15.75" customHeight="1">
      <c r="A726" s="1">
        <v>45654.0</v>
      </c>
      <c r="B726" s="3" t="s">
        <v>14</v>
      </c>
      <c r="C726" s="2" t="s">
        <v>312</v>
      </c>
      <c r="D726" s="6">
        <v>1793.94</v>
      </c>
      <c r="E726" s="6">
        <v>3.0</v>
      </c>
      <c r="F726" s="7">
        <v>5381.82</v>
      </c>
      <c r="G726" s="2" t="s">
        <v>2248</v>
      </c>
      <c r="H726" s="2" t="s">
        <v>2249</v>
      </c>
      <c r="I726" s="2" t="s">
        <v>2250</v>
      </c>
    </row>
    <row r="727" ht="15.75" customHeight="1">
      <c r="A727" s="1">
        <v>45654.0</v>
      </c>
      <c r="B727" s="2" t="s">
        <v>57</v>
      </c>
      <c r="C727" s="2" t="s">
        <v>92</v>
      </c>
      <c r="D727" s="6">
        <v>2144.75</v>
      </c>
      <c r="E727" s="6">
        <v>1.0</v>
      </c>
      <c r="F727" s="7">
        <v>2144.75</v>
      </c>
      <c r="G727" s="2" t="s">
        <v>2251</v>
      </c>
      <c r="H727" s="2" t="s">
        <v>2252</v>
      </c>
      <c r="I727" s="2" t="s">
        <v>2253</v>
      </c>
    </row>
    <row r="728" ht="15.75" customHeight="1">
      <c r="A728" s="1">
        <v>45654.0</v>
      </c>
      <c r="B728" s="3" t="s">
        <v>14</v>
      </c>
      <c r="C728" s="2" t="s">
        <v>289</v>
      </c>
      <c r="D728" s="6">
        <v>1642.37</v>
      </c>
      <c r="E728" s="6">
        <v>3.0</v>
      </c>
      <c r="F728" s="7">
        <v>4927.11</v>
      </c>
      <c r="G728" s="2" t="s">
        <v>2254</v>
      </c>
      <c r="H728" s="2" t="s">
        <v>2255</v>
      </c>
      <c r="I728" s="2" t="s">
        <v>2256</v>
      </c>
    </row>
    <row r="729" ht="15.75" customHeight="1">
      <c r="A729" s="1">
        <v>45654.0</v>
      </c>
      <c r="B729" s="3" t="s">
        <v>29</v>
      </c>
      <c r="C729" s="2" t="s">
        <v>316</v>
      </c>
      <c r="D729" s="6">
        <v>158.82</v>
      </c>
      <c r="E729" s="6">
        <v>2.0</v>
      </c>
      <c r="F729" s="7">
        <v>317.64</v>
      </c>
      <c r="G729" s="2" t="s">
        <v>2257</v>
      </c>
      <c r="H729" s="2" t="s">
        <v>2258</v>
      </c>
      <c r="I729" s="2" t="s">
        <v>2259</v>
      </c>
    </row>
    <row r="730" ht="15.75" customHeight="1">
      <c r="A730" s="1">
        <v>45654.0</v>
      </c>
      <c r="B730" s="2" t="s">
        <v>57</v>
      </c>
      <c r="C730" s="2" t="s">
        <v>165</v>
      </c>
      <c r="D730" s="6">
        <v>1088.66</v>
      </c>
      <c r="E730" s="6">
        <v>4.0</v>
      </c>
      <c r="F730" s="7">
        <v>4354.64</v>
      </c>
      <c r="G730" s="2" t="s">
        <v>2260</v>
      </c>
      <c r="H730" s="2" t="s">
        <v>2261</v>
      </c>
      <c r="I730" s="2" t="s">
        <v>2262</v>
      </c>
    </row>
    <row r="731" ht="15.75" customHeight="1">
      <c r="A731" s="1">
        <v>45655.0</v>
      </c>
      <c r="B731" s="3" t="s">
        <v>9</v>
      </c>
      <c r="C731" s="2" t="s">
        <v>66</v>
      </c>
      <c r="D731" s="6">
        <v>1456.46</v>
      </c>
      <c r="E731" s="6">
        <v>4.0</v>
      </c>
      <c r="F731" s="7">
        <v>5825.84</v>
      </c>
      <c r="G731" s="2" t="s">
        <v>2263</v>
      </c>
      <c r="H731" s="2" t="s">
        <v>2264</v>
      </c>
      <c r="I731" s="2" t="s">
        <v>2265</v>
      </c>
    </row>
    <row r="732" ht="15.75" customHeight="1">
      <c r="A732" s="1">
        <v>45655.0</v>
      </c>
      <c r="B732" s="2" t="s">
        <v>57</v>
      </c>
      <c r="C732" s="2" t="s">
        <v>79</v>
      </c>
      <c r="D732" s="6">
        <v>2209.08</v>
      </c>
      <c r="E732" s="6">
        <v>2.0</v>
      </c>
      <c r="F732" s="7">
        <v>4418.16</v>
      </c>
      <c r="G732" s="2" t="s">
        <v>2266</v>
      </c>
      <c r="H732" s="2" t="s">
        <v>2267</v>
      </c>
      <c r="I732" s="8" t="s">
        <v>2268</v>
      </c>
    </row>
    <row r="733" ht="15.75" customHeight="1">
      <c r="A733" s="1">
        <v>45655.0</v>
      </c>
      <c r="B733" s="3" t="s">
        <v>14</v>
      </c>
      <c r="C733" s="2" t="s">
        <v>169</v>
      </c>
      <c r="D733" s="6">
        <v>401.92</v>
      </c>
      <c r="E733" s="6">
        <v>3.0</v>
      </c>
      <c r="F733" s="7">
        <v>1205.76</v>
      </c>
      <c r="G733" s="2" t="s">
        <v>2269</v>
      </c>
      <c r="H733" s="2" t="s">
        <v>2270</v>
      </c>
      <c r="I733" s="2" t="s">
        <v>2271</v>
      </c>
    </row>
    <row r="734" ht="15.75" customHeight="1">
      <c r="A734" s="1">
        <v>45655.0</v>
      </c>
      <c r="B734" s="3" t="s">
        <v>14</v>
      </c>
      <c r="C734" s="2" t="s">
        <v>123</v>
      </c>
      <c r="D734" s="6">
        <v>989.79</v>
      </c>
      <c r="E734" s="6">
        <v>5.0</v>
      </c>
      <c r="F734" s="7">
        <v>4948.95</v>
      </c>
      <c r="G734" s="2" t="s">
        <v>2272</v>
      </c>
      <c r="H734" s="2" t="s">
        <v>2273</v>
      </c>
      <c r="I734" s="2" t="s">
        <v>2274</v>
      </c>
    </row>
    <row r="735" ht="15.75" customHeight="1">
      <c r="A735" s="1">
        <v>45655.0</v>
      </c>
      <c r="B735" s="3" t="s">
        <v>14</v>
      </c>
      <c r="C735" s="2" t="s">
        <v>427</v>
      </c>
      <c r="D735" s="6">
        <v>173.98</v>
      </c>
      <c r="E735" s="6">
        <v>4.0</v>
      </c>
      <c r="F735" s="7">
        <v>695.92</v>
      </c>
      <c r="G735" s="2" t="s">
        <v>2275</v>
      </c>
      <c r="H735" s="2" t="s">
        <v>2276</v>
      </c>
      <c r="I735" s="2" t="s">
        <v>2277</v>
      </c>
    </row>
    <row r="736" ht="15.75" customHeight="1">
      <c r="A736" s="1">
        <v>45655.0</v>
      </c>
      <c r="B736" s="2" t="s">
        <v>57</v>
      </c>
      <c r="C736" s="2" t="s">
        <v>62</v>
      </c>
      <c r="D736" s="6">
        <v>1006.61</v>
      </c>
      <c r="E736" s="6">
        <v>4.0</v>
      </c>
      <c r="F736" s="7">
        <v>4026.44</v>
      </c>
      <c r="G736" s="2" t="s">
        <v>2278</v>
      </c>
      <c r="H736" s="2" t="s">
        <v>2279</v>
      </c>
      <c r="I736" s="2" t="s">
        <v>2280</v>
      </c>
    </row>
    <row r="737" ht="15.75" customHeight="1">
      <c r="A737" s="1">
        <v>45655.0</v>
      </c>
      <c r="B737" s="3" t="s">
        <v>29</v>
      </c>
      <c r="C737" s="2" t="s">
        <v>370</v>
      </c>
      <c r="D737" s="6">
        <v>2068.09</v>
      </c>
      <c r="E737" s="6">
        <v>2.0</v>
      </c>
      <c r="F737" s="7">
        <v>4136.18</v>
      </c>
      <c r="G737" s="2" t="s">
        <v>2281</v>
      </c>
      <c r="H737" s="2" t="s">
        <v>2282</v>
      </c>
      <c r="I737" s="2" t="s">
        <v>2283</v>
      </c>
    </row>
    <row r="738" ht="15.75" customHeight="1">
      <c r="A738" s="1">
        <v>45655.0</v>
      </c>
      <c r="B738" s="3" t="s">
        <v>29</v>
      </c>
      <c r="C738" s="2" t="s">
        <v>252</v>
      </c>
      <c r="D738" s="6">
        <v>732.27</v>
      </c>
      <c r="E738" s="6">
        <v>4.0</v>
      </c>
      <c r="F738" s="7">
        <v>2929.08</v>
      </c>
      <c r="G738" s="2" t="s">
        <v>2284</v>
      </c>
      <c r="H738" s="2" t="s">
        <v>2285</v>
      </c>
      <c r="I738" s="2" t="s">
        <v>2286</v>
      </c>
    </row>
    <row r="739" ht="15.75" customHeight="1">
      <c r="A739" s="1">
        <v>45655.0</v>
      </c>
      <c r="B739" s="3" t="s">
        <v>9</v>
      </c>
      <c r="C739" s="2" t="s">
        <v>161</v>
      </c>
      <c r="D739" s="6">
        <v>620.05</v>
      </c>
      <c r="E739" s="6">
        <v>5.0</v>
      </c>
      <c r="F739" s="7">
        <v>3100.25</v>
      </c>
      <c r="G739" s="2" t="s">
        <v>2287</v>
      </c>
      <c r="H739" s="2" t="s">
        <v>2288</v>
      </c>
      <c r="I739" s="2" t="s">
        <v>2289</v>
      </c>
    </row>
    <row r="740" ht="15.75" customHeight="1">
      <c r="A740" s="1">
        <v>45655.0</v>
      </c>
      <c r="B740" s="3" t="s">
        <v>74</v>
      </c>
      <c r="C740" s="2" t="s">
        <v>123</v>
      </c>
      <c r="D740" s="6">
        <v>1331.81</v>
      </c>
      <c r="E740" s="6">
        <v>3.0</v>
      </c>
      <c r="F740" s="7">
        <v>3995.43</v>
      </c>
      <c r="G740" s="2" t="s">
        <v>2290</v>
      </c>
      <c r="H740" s="2" t="s">
        <v>2291</v>
      </c>
      <c r="I740" s="2" t="s">
        <v>2292</v>
      </c>
    </row>
    <row r="741" ht="15.75" customHeight="1">
      <c r="A741" s="1">
        <v>45655.0</v>
      </c>
      <c r="B741" s="2" t="s">
        <v>34</v>
      </c>
      <c r="C741" s="2" t="s">
        <v>366</v>
      </c>
      <c r="D741" s="6">
        <v>714.18</v>
      </c>
      <c r="E741" s="6">
        <v>4.0</v>
      </c>
      <c r="F741" s="7">
        <v>2856.72</v>
      </c>
      <c r="G741" s="2" t="s">
        <v>2293</v>
      </c>
      <c r="H741" s="2" t="s">
        <v>2294</v>
      </c>
      <c r="I741" s="2" t="s">
        <v>2295</v>
      </c>
    </row>
    <row r="742" ht="15.75" customHeight="1">
      <c r="A742" s="1">
        <v>45655.0</v>
      </c>
      <c r="B742" s="3" t="s">
        <v>9</v>
      </c>
      <c r="C742" s="2" t="s">
        <v>10</v>
      </c>
      <c r="D742" s="6">
        <v>792.6</v>
      </c>
      <c r="E742" s="6">
        <v>5.0</v>
      </c>
      <c r="F742" s="7">
        <v>3963.0</v>
      </c>
      <c r="G742" s="2" t="s">
        <v>2296</v>
      </c>
      <c r="H742" s="2" t="s">
        <v>2297</v>
      </c>
      <c r="I742" s="2" t="s">
        <v>2298</v>
      </c>
    </row>
    <row r="743" ht="15.75" customHeight="1">
      <c r="A743" s="1">
        <v>45655.0</v>
      </c>
      <c r="B743" s="3" t="s">
        <v>9</v>
      </c>
      <c r="C743" s="2" t="s">
        <v>183</v>
      </c>
      <c r="D743" s="6">
        <v>1811.9</v>
      </c>
      <c r="E743" s="6">
        <v>1.0</v>
      </c>
      <c r="F743" s="7">
        <v>1811.9</v>
      </c>
      <c r="G743" s="2" t="s">
        <v>2299</v>
      </c>
      <c r="H743" s="2" t="s">
        <v>2300</v>
      </c>
      <c r="I743" s="2" t="s">
        <v>2301</v>
      </c>
    </row>
    <row r="744" ht="15.75" customHeight="1">
      <c r="A744" s="1">
        <v>45656.0</v>
      </c>
      <c r="B744" s="2" t="s">
        <v>57</v>
      </c>
      <c r="C744" s="2" t="s">
        <v>49</v>
      </c>
      <c r="D744" s="6">
        <v>895.6</v>
      </c>
      <c r="E744" s="6">
        <v>3.0</v>
      </c>
      <c r="F744" s="7">
        <v>2686.8</v>
      </c>
      <c r="G744" s="2" t="s">
        <v>2302</v>
      </c>
      <c r="H744" s="2" t="s">
        <v>2303</v>
      </c>
      <c r="I744" s="2" t="s">
        <v>2304</v>
      </c>
    </row>
    <row r="745" ht="15.75" customHeight="1">
      <c r="A745" s="1">
        <v>45656.0</v>
      </c>
      <c r="B745" s="3" t="s">
        <v>74</v>
      </c>
      <c r="C745" s="2" t="s">
        <v>662</v>
      </c>
      <c r="D745" s="6">
        <v>2064.92</v>
      </c>
      <c r="E745" s="6">
        <v>3.0</v>
      </c>
      <c r="F745" s="7">
        <v>6194.76</v>
      </c>
      <c r="G745" s="2" t="s">
        <v>2305</v>
      </c>
      <c r="H745" s="2" t="s">
        <v>2306</v>
      </c>
      <c r="I745" s="8" t="s">
        <v>2307</v>
      </c>
    </row>
    <row r="746" ht="15.75" customHeight="1">
      <c r="A746" s="1">
        <v>45656.0</v>
      </c>
      <c r="B746" s="3" t="s">
        <v>9</v>
      </c>
      <c r="C746" s="2" t="s">
        <v>30</v>
      </c>
      <c r="D746" s="6">
        <v>2149.59</v>
      </c>
      <c r="E746" s="6">
        <v>4.0</v>
      </c>
      <c r="F746" s="7">
        <v>8598.36</v>
      </c>
      <c r="G746" s="2" t="s">
        <v>2308</v>
      </c>
      <c r="H746" s="2" t="s">
        <v>2309</v>
      </c>
      <c r="I746" s="2" t="s">
        <v>2310</v>
      </c>
    </row>
    <row r="747" ht="15.75" customHeight="1">
      <c r="A747" s="1">
        <v>45656.0</v>
      </c>
      <c r="B747" s="2" t="s">
        <v>34</v>
      </c>
      <c r="C747" s="2" t="s">
        <v>35</v>
      </c>
      <c r="D747" s="6">
        <v>619.4</v>
      </c>
      <c r="E747" s="6">
        <v>1.0</v>
      </c>
      <c r="F747" s="7">
        <v>619.4</v>
      </c>
      <c r="G747" s="2" t="s">
        <v>2311</v>
      </c>
      <c r="H747" s="2" t="s">
        <v>2312</v>
      </c>
      <c r="I747" s="2" t="s">
        <v>2313</v>
      </c>
    </row>
    <row r="748" ht="15.75" customHeight="1">
      <c r="A748" s="1">
        <v>45656.0</v>
      </c>
      <c r="B748" s="3" t="s">
        <v>9</v>
      </c>
      <c r="C748" s="2" t="s">
        <v>39</v>
      </c>
      <c r="D748" s="6">
        <v>2086.06</v>
      </c>
      <c r="E748" s="6">
        <v>1.0</v>
      </c>
      <c r="F748" s="7">
        <v>2086.06</v>
      </c>
      <c r="G748" s="2" t="s">
        <v>2314</v>
      </c>
      <c r="H748" s="2" t="s">
        <v>2315</v>
      </c>
      <c r="I748" s="2" t="s">
        <v>2316</v>
      </c>
    </row>
    <row r="749" ht="15.75" customHeight="1">
      <c r="A749" s="1">
        <v>45656.0</v>
      </c>
      <c r="B749" s="3" t="s">
        <v>9</v>
      </c>
      <c r="C749" s="2" t="s">
        <v>79</v>
      </c>
      <c r="D749" s="6">
        <v>2019.54</v>
      </c>
      <c r="E749" s="6">
        <v>3.0</v>
      </c>
      <c r="F749" s="7">
        <v>6058.62</v>
      </c>
      <c r="G749" s="2" t="s">
        <v>2317</v>
      </c>
      <c r="H749" s="2" t="s">
        <v>2318</v>
      </c>
      <c r="I749" s="2" t="s">
        <v>2319</v>
      </c>
    </row>
    <row r="750" ht="15.75" customHeight="1">
      <c r="A750" s="1">
        <v>45656.0</v>
      </c>
      <c r="B750" s="2" t="s">
        <v>57</v>
      </c>
      <c r="C750" s="2" t="s">
        <v>39</v>
      </c>
      <c r="D750" s="6">
        <v>823.08</v>
      </c>
      <c r="E750" s="6">
        <v>4.0</v>
      </c>
      <c r="F750" s="7">
        <v>3292.32</v>
      </c>
      <c r="G750" s="2" t="s">
        <v>2320</v>
      </c>
      <c r="H750" s="2" t="s">
        <v>2321</v>
      </c>
      <c r="I750" s="2" t="s">
        <v>2322</v>
      </c>
    </row>
    <row r="751" ht="15.75" customHeight="1">
      <c r="A751" s="1">
        <v>45657.0</v>
      </c>
      <c r="B751" s="3" t="s">
        <v>74</v>
      </c>
      <c r="C751" s="2" t="s">
        <v>308</v>
      </c>
      <c r="D751" s="6">
        <v>1721.22</v>
      </c>
      <c r="E751" s="6">
        <v>4.0</v>
      </c>
      <c r="F751" s="7">
        <v>6884.88</v>
      </c>
      <c r="G751" s="2" t="s">
        <v>2323</v>
      </c>
      <c r="H751" s="2" t="s">
        <v>2324</v>
      </c>
      <c r="I751" s="2" t="s">
        <v>2325</v>
      </c>
    </row>
    <row r="752" ht="15.75" customHeight="1">
      <c r="A752" s="1">
        <v>45657.0</v>
      </c>
      <c r="B752" s="2" t="s">
        <v>57</v>
      </c>
      <c r="C752" s="2" t="s">
        <v>39</v>
      </c>
      <c r="D752" s="6">
        <v>134.89</v>
      </c>
      <c r="E752" s="6">
        <v>5.0</v>
      </c>
      <c r="F752" s="7">
        <v>674.45</v>
      </c>
      <c r="G752" s="2" t="s">
        <v>2326</v>
      </c>
      <c r="H752" s="2" t="s">
        <v>2327</v>
      </c>
      <c r="I752" s="2" t="s">
        <v>2328</v>
      </c>
    </row>
    <row r="753" ht="15.75" customHeight="1">
      <c r="A753" s="1">
        <v>45657.0</v>
      </c>
      <c r="B753" s="3" t="s">
        <v>74</v>
      </c>
      <c r="C753" s="2" t="s">
        <v>427</v>
      </c>
      <c r="D753" s="6">
        <v>1545.28</v>
      </c>
      <c r="E753" s="6">
        <v>2.0</v>
      </c>
      <c r="F753" s="7">
        <v>3090.56</v>
      </c>
      <c r="G753" s="2" t="s">
        <v>2329</v>
      </c>
      <c r="H753" s="2" t="s">
        <v>2330</v>
      </c>
      <c r="I753" s="2" t="s">
        <v>2331</v>
      </c>
    </row>
    <row r="754" ht="15.75" customHeight="1">
      <c r="A754" s="1">
        <v>45657.0</v>
      </c>
      <c r="B754" s="2" t="s">
        <v>57</v>
      </c>
      <c r="C754" s="2" t="s">
        <v>30</v>
      </c>
      <c r="D754" s="6">
        <v>807.96</v>
      </c>
      <c r="E754" s="6">
        <v>2.0</v>
      </c>
      <c r="F754" s="7">
        <v>1615.92</v>
      </c>
      <c r="G754" s="2" t="s">
        <v>2332</v>
      </c>
      <c r="H754" s="2" t="s">
        <v>2333</v>
      </c>
      <c r="I754" s="2" t="s">
        <v>2334</v>
      </c>
    </row>
  </sheetData>
  <autoFilter ref="$A$1:$I$7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2" width="9.11"/>
    <col customWidth="1" min="3" max="3" width="15.11"/>
    <col customWidth="1" min="4" max="4" width="15.78"/>
    <col customWidth="1" min="5" max="5" width="33.22"/>
    <col customWidth="1" min="6" max="6" width="9.78"/>
    <col customWidth="1" min="7" max="7" width="18.56"/>
    <col customWidth="1" min="8" max="8" width="15.33"/>
    <col customWidth="1" min="9" max="9" width="13.33"/>
    <col customWidth="1" min="10" max="10" width="10.56"/>
    <col customWidth="1" min="11" max="11" width="10.44"/>
    <col customWidth="1" min="12" max="12" width="35.0"/>
    <col customWidth="1" min="13" max="13" width="36.33"/>
    <col customWidth="1" min="14" max="14" width="34.89"/>
    <col customWidth="1" min="15" max="15" width="14.44"/>
    <col customWidth="1" min="16" max="31" width="10.56"/>
  </cols>
  <sheetData>
    <row r="1" ht="15.75" customHeight="1">
      <c r="A1" s="9" t="s">
        <v>0</v>
      </c>
      <c r="B1" s="9" t="s">
        <v>2335</v>
      </c>
      <c r="C1" s="10" t="s">
        <v>1</v>
      </c>
      <c r="D1" s="11" t="s">
        <v>2336</v>
      </c>
      <c r="E1" s="10" t="s">
        <v>2</v>
      </c>
      <c r="F1" s="11" t="s">
        <v>2337</v>
      </c>
      <c r="G1" s="11" t="s">
        <v>2338</v>
      </c>
      <c r="H1" s="11" t="s">
        <v>2339</v>
      </c>
      <c r="I1" s="12" t="s">
        <v>3</v>
      </c>
      <c r="J1" s="11" t="s">
        <v>4</v>
      </c>
      <c r="K1" s="13" t="s">
        <v>5</v>
      </c>
      <c r="L1" s="10" t="s">
        <v>6</v>
      </c>
      <c r="M1" s="10" t="s">
        <v>7</v>
      </c>
      <c r="N1" s="10" t="s">
        <v>8</v>
      </c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ht="15.75" customHeight="1">
      <c r="A2" s="16">
        <v>45566.0</v>
      </c>
      <c r="B2" s="16" t="str">
        <f t="shared" ref="B2:B754" si="1">TEXT(A2,"mmmm")</f>
        <v>October</v>
      </c>
      <c r="C2" s="2" t="s">
        <v>9</v>
      </c>
      <c r="D2" s="2" t="str">
        <f t="shared" ref="D2:D754" si="2">PROPER(TRIM(C2))</f>
        <v>Monterrey</v>
      </c>
      <c r="E2" s="2" t="s">
        <v>10</v>
      </c>
      <c r="F2" s="2" t="str">
        <f>IFERROR(__xludf.DUMMYFUNCTION("SPLIT(E2, ""-"")"),"Tablet")</f>
        <v>Tablet</v>
      </c>
      <c r="G2" s="2" t="str">
        <f>IFERROR(__xludf.DUMMYFUNCTION("""COMPUTED_VALUE"""),"Estándar")</f>
        <v>Estándar</v>
      </c>
      <c r="H2" s="2" t="str">
        <f>IFERROR(__xludf.DUMMYFUNCTION("""COMPUTED_VALUE"""),"8GB")</f>
        <v>8GB</v>
      </c>
      <c r="I2" s="17">
        <v>1339.17</v>
      </c>
      <c r="J2" s="6">
        <v>2.0</v>
      </c>
      <c r="K2" s="17">
        <v>2678.34</v>
      </c>
      <c r="L2" s="3" t="s">
        <v>11</v>
      </c>
      <c r="M2" s="2" t="s">
        <v>12</v>
      </c>
      <c r="N2" s="2" t="s">
        <v>13</v>
      </c>
    </row>
    <row r="3" ht="15.75" customHeight="1">
      <c r="A3" s="18">
        <v>45566.0</v>
      </c>
      <c r="B3" s="16" t="str">
        <f t="shared" si="1"/>
        <v>October</v>
      </c>
      <c r="C3" s="2" t="s">
        <v>14</v>
      </c>
      <c r="D3" s="2" t="str">
        <f t="shared" si="2"/>
        <v>Bogotá</v>
      </c>
      <c r="E3" s="2" t="s">
        <v>15</v>
      </c>
      <c r="F3" s="2" t="str">
        <f>IFERROR(__xludf.DUMMYFUNCTION("SPLIT(E3, ""-"")"),"Auriculares")</f>
        <v>Auriculares</v>
      </c>
      <c r="G3" s="2" t="str">
        <f>IFERROR(__xludf.DUMMYFUNCTION("""COMPUTED_VALUE"""),"Con cable")</f>
        <v>Con cable</v>
      </c>
      <c r="H3" s="2" t="str">
        <f>IFERROR(__xludf.DUMMYFUNCTION("""COMPUTED_VALUE"""),"32GB")</f>
        <v>32GB</v>
      </c>
      <c r="I3" s="17">
        <v>716.29</v>
      </c>
      <c r="J3" s="6">
        <v>1.0</v>
      </c>
      <c r="K3" s="17">
        <v>716.29</v>
      </c>
      <c r="L3" s="2" t="s">
        <v>16</v>
      </c>
      <c r="M3" s="2" t="s">
        <v>17</v>
      </c>
      <c r="N3" s="2" t="s">
        <v>18</v>
      </c>
    </row>
    <row r="4" ht="15.75" customHeight="1">
      <c r="A4" s="18">
        <v>45568.0</v>
      </c>
      <c r="B4" s="16" t="str">
        <f t="shared" si="1"/>
        <v>October</v>
      </c>
      <c r="C4" s="2" t="s">
        <v>9</v>
      </c>
      <c r="D4" s="2" t="str">
        <f t="shared" si="2"/>
        <v>Monterrey</v>
      </c>
      <c r="E4" s="2" t="s">
        <v>15</v>
      </c>
      <c r="F4" s="2" t="str">
        <f>IFERROR(__xludf.DUMMYFUNCTION("SPLIT(E4, ""-"")"),"Auriculares")</f>
        <v>Auriculares</v>
      </c>
      <c r="G4" s="19" t="str">
        <f>IFERROR(__xludf.DUMMYFUNCTION("""COMPUTED_VALUE"""),"Con cable")</f>
        <v>Con cable</v>
      </c>
      <c r="H4" s="2" t="str">
        <f>IFERROR(__xludf.DUMMYFUNCTION("""COMPUTED_VALUE"""),"32GB")</f>
        <v>32GB</v>
      </c>
      <c r="I4" s="17">
        <v>439.01</v>
      </c>
      <c r="J4" s="6">
        <v>5.0</v>
      </c>
      <c r="K4" s="17">
        <v>2195.05</v>
      </c>
      <c r="L4" s="3" t="s">
        <v>19</v>
      </c>
      <c r="M4" s="2" t="s">
        <v>20</v>
      </c>
      <c r="N4" s="2" t="s">
        <v>21</v>
      </c>
    </row>
    <row r="5" ht="15.75" customHeight="1">
      <c r="A5" s="18">
        <v>45568.0</v>
      </c>
      <c r="B5" s="16" t="str">
        <f t="shared" si="1"/>
        <v>October</v>
      </c>
      <c r="C5" s="2" t="s">
        <v>14</v>
      </c>
      <c r="D5" s="2" t="str">
        <f t="shared" si="2"/>
        <v>Bogotá</v>
      </c>
      <c r="E5" s="2" t="s">
        <v>22</v>
      </c>
      <c r="F5" s="2" t="str">
        <f>IFERROR(__xludf.DUMMYFUNCTION("SPLIT(E5, ""-"")"),"Tablet")</f>
        <v>Tablet</v>
      </c>
      <c r="G5" s="2" t="str">
        <f>IFERROR(__xludf.DUMMYFUNCTION("""COMPUTED_VALUE"""),"Estándar")</f>
        <v>Estándar</v>
      </c>
      <c r="H5" s="2" t="str">
        <f>IFERROR(__xludf.DUMMYFUNCTION("""COMPUTED_VALUE"""),"16GB")</f>
        <v>16GB</v>
      </c>
      <c r="I5" s="17">
        <v>741.79</v>
      </c>
      <c r="J5" s="6">
        <v>2.0</v>
      </c>
      <c r="K5" s="17">
        <v>1483.58</v>
      </c>
      <c r="L5" s="2" t="s">
        <v>23</v>
      </c>
      <c r="M5" s="2" t="s">
        <v>24</v>
      </c>
      <c r="N5" s="2" t="s">
        <v>25</v>
      </c>
    </row>
    <row r="6" ht="15.75" customHeight="1">
      <c r="A6" s="18">
        <v>45568.0</v>
      </c>
      <c r="B6" s="16" t="str">
        <f t="shared" si="1"/>
        <v>October</v>
      </c>
      <c r="C6" s="2" t="s">
        <v>14</v>
      </c>
      <c r="D6" s="2" t="str">
        <f t="shared" si="2"/>
        <v>Bogotá</v>
      </c>
      <c r="E6" s="2" t="s">
        <v>10</v>
      </c>
      <c r="F6" s="2" t="str">
        <f>IFERROR(__xludf.DUMMYFUNCTION("SPLIT(E6, ""-"")"),"Tablet")</f>
        <v>Tablet</v>
      </c>
      <c r="G6" s="2" t="str">
        <f>IFERROR(__xludf.DUMMYFUNCTION("""COMPUTED_VALUE"""),"Estándar")</f>
        <v>Estándar</v>
      </c>
      <c r="H6" s="2" t="str">
        <f>IFERROR(__xludf.DUMMYFUNCTION("""COMPUTED_VALUE"""),"8GB")</f>
        <v>8GB</v>
      </c>
      <c r="I6" s="17">
        <v>984.34</v>
      </c>
      <c r="J6" s="6">
        <v>3.0</v>
      </c>
      <c r="K6" s="17">
        <v>2953.02</v>
      </c>
      <c r="L6" s="3" t="s">
        <v>26</v>
      </c>
      <c r="M6" s="2" t="s">
        <v>27</v>
      </c>
      <c r="N6" s="2" t="s">
        <v>28</v>
      </c>
    </row>
    <row r="7" ht="15.75" customHeight="1">
      <c r="A7" s="18">
        <v>45568.0</v>
      </c>
      <c r="B7" s="16" t="str">
        <f t="shared" si="1"/>
        <v>October</v>
      </c>
      <c r="C7" s="3" t="s">
        <v>29</v>
      </c>
      <c r="D7" s="2" t="str">
        <f t="shared" si="2"/>
        <v>Ciudad De Mexico</v>
      </c>
      <c r="E7" s="19" t="s">
        <v>30</v>
      </c>
      <c r="F7" s="2" t="str">
        <f>IFERROR(__xludf.DUMMYFUNCTION("SPLIT(E7, ""-"")"),"Teléfono")</f>
        <v>Teléfono</v>
      </c>
      <c r="G7" s="2" t="str">
        <f>IFERROR(__xludf.DUMMYFUNCTION("""COMPUTED_VALUE"""),"Gama alta")</f>
        <v>Gama alta</v>
      </c>
      <c r="H7" s="2" t="str">
        <f>IFERROR(__xludf.DUMMYFUNCTION("""COMPUTED_VALUE"""),"32GB")</f>
        <v>32GB</v>
      </c>
      <c r="I7" s="17">
        <v>2419.81</v>
      </c>
      <c r="J7" s="6">
        <v>5.0</v>
      </c>
      <c r="K7" s="17">
        <v>12099.05</v>
      </c>
      <c r="L7" s="3" t="s">
        <v>31</v>
      </c>
      <c r="M7" s="2" t="s">
        <v>32</v>
      </c>
      <c r="N7" s="2" t="s">
        <v>33</v>
      </c>
    </row>
    <row r="8" ht="15.75" customHeight="1">
      <c r="A8" s="18">
        <v>45568.0</v>
      </c>
      <c r="B8" s="16" t="str">
        <f t="shared" si="1"/>
        <v>October</v>
      </c>
      <c r="C8" s="2" t="s">
        <v>34</v>
      </c>
      <c r="D8" s="2" t="str">
        <f t="shared" si="2"/>
        <v>Medellín</v>
      </c>
      <c r="E8" s="2" t="s">
        <v>35</v>
      </c>
      <c r="F8" s="2" t="str">
        <f>IFERROR(__xludf.DUMMYFUNCTION("SPLIT(E8, ""-"")"),"Tablet")</f>
        <v>Tablet</v>
      </c>
      <c r="G8" s="2" t="str">
        <f>IFERROR(__xludf.DUMMYFUNCTION("""COMPUTED_VALUE"""),"Pro")</f>
        <v>Pro</v>
      </c>
      <c r="H8" s="2" t="str">
        <f>IFERROR(__xludf.DUMMYFUNCTION("""COMPUTED_VALUE"""),"4GB")</f>
        <v>4GB</v>
      </c>
      <c r="I8" s="17">
        <v>145.9</v>
      </c>
      <c r="J8" s="6">
        <v>5.0</v>
      </c>
      <c r="K8" s="17">
        <v>729.5</v>
      </c>
      <c r="L8" s="2" t="s">
        <v>36</v>
      </c>
      <c r="M8" s="2" t="s">
        <v>37</v>
      </c>
      <c r="N8" s="2" t="s">
        <v>38</v>
      </c>
    </row>
    <row r="9" ht="15.75" customHeight="1">
      <c r="A9" s="18">
        <v>45569.0</v>
      </c>
      <c r="B9" s="16" t="str">
        <f t="shared" si="1"/>
        <v>October</v>
      </c>
      <c r="C9" s="3" t="s">
        <v>29</v>
      </c>
      <c r="D9" s="2" t="str">
        <f t="shared" si="2"/>
        <v>Ciudad De Mexico</v>
      </c>
      <c r="E9" s="2" t="s">
        <v>39</v>
      </c>
      <c r="F9" s="2" t="str">
        <f>IFERROR(__xludf.DUMMYFUNCTION("SPLIT(E9, ""-"")"),"Auriculares")</f>
        <v>Auriculares</v>
      </c>
      <c r="G9" s="2" t="str">
        <f>IFERROR(__xludf.DUMMYFUNCTION("""COMPUTED_VALUE"""),"Con cable")</f>
        <v>Con cable</v>
      </c>
      <c r="H9" s="2" t="str">
        <f>IFERROR(__xludf.DUMMYFUNCTION("""COMPUTED_VALUE"""),"8GB")</f>
        <v>8GB</v>
      </c>
      <c r="I9" s="17">
        <v>1086.48</v>
      </c>
      <c r="J9" s="6">
        <v>1.0</v>
      </c>
      <c r="K9" s="17">
        <v>1086.48</v>
      </c>
      <c r="L9" s="2" t="s">
        <v>40</v>
      </c>
      <c r="M9" s="2" t="s">
        <v>41</v>
      </c>
      <c r="N9" s="2" t="s">
        <v>42</v>
      </c>
    </row>
    <row r="10" ht="15.75" customHeight="1">
      <c r="A10" s="18">
        <v>45570.0</v>
      </c>
      <c r="B10" s="16" t="str">
        <f t="shared" si="1"/>
        <v>October</v>
      </c>
      <c r="C10" s="2" t="s">
        <v>9</v>
      </c>
      <c r="D10" s="2" t="str">
        <f t="shared" si="2"/>
        <v>Monterrey</v>
      </c>
      <c r="E10" s="2" t="s">
        <v>39</v>
      </c>
      <c r="F10" s="2" t="str">
        <f>IFERROR(__xludf.DUMMYFUNCTION("SPLIT(E10, ""-"")"),"Auriculares")</f>
        <v>Auriculares</v>
      </c>
      <c r="G10" s="2" t="str">
        <f>IFERROR(__xludf.DUMMYFUNCTION("""COMPUTED_VALUE"""),"Con cable")</f>
        <v>Con cable</v>
      </c>
      <c r="H10" s="2" t="str">
        <f>IFERROR(__xludf.DUMMYFUNCTION("""COMPUTED_VALUE"""),"8GB")</f>
        <v>8GB</v>
      </c>
      <c r="I10" s="17">
        <v>1898.32</v>
      </c>
      <c r="J10" s="6">
        <v>4.0</v>
      </c>
      <c r="K10" s="17">
        <v>7593.28</v>
      </c>
      <c r="L10" s="2" t="s">
        <v>43</v>
      </c>
      <c r="M10" s="2" t="s">
        <v>44</v>
      </c>
      <c r="N10" s="2" t="s">
        <v>45</v>
      </c>
    </row>
    <row r="11" ht="15.75" customHeight="1">
      <c r="A11" s="18">
        <v>45571.0</v>
      </c>
      <c r="B11" s="16" t="str">
        <f t="shared" si="1"/>
        <v>October</v>
      </c>
      <c r="C11" s="2" t="s">
        <v>9</v>
      </c>
      <c r="D11" s="2" t="str">
        <f t="shared" si="2"/>
        <v>Monterrey</v>
      </c>
      <c r="E11" s="2" t="s">
        <v>10</v>
      </c>
      <c r="F11" s="2" t="str">
        <f>IFERROR(__xludf.DUMMYFUNCTION("SPLIT(E11, ""-"")"),"Tablet")</f>
        <v>Tablet</v>
      </c>
      <c r="G11" s="2" t="str">
        <f>IFERROR(__xludf.DUMMYFUNCTION("""COMPUTED_VALUE"""),"Estándar")</f>
        <v>Estándar</v>
      </c>
      <c r="H11" s="2" t="str">
        <f>IFERROR(__xludf.DUMMYFUNCTION("""COMPUTED_VALUE"""),"8GB")</f>
        <v>8GB</v>
      </c>
      <c r="I11" s="17">
        <v>1280.61</v>
      </c>
      <c r="J11" s="6">
        <v>5.0</v>
      </c>
      <c r="K11" s="17">
        <v>6403.05</v>
      </c>
      <c r="L11" s="2" t="s">
        <v>46</v>
      </c>
      <c r="M11" s="2" t="s">
        <v>47</v>
      </c>
      <c r="N11" s="8" t="s">
        <v>48</v>
      </c>
    </row>
    <row r="12" ht="15.75" customHeight="1">
      <c r="A12" s="18">
        <v>45571.0</v>
      </c>
      <c r="B12" s="16" t="str">
        <f t="shared" si="1"/>
        <v>October</v>
      </c>
      <c r="C12" s="2" t="s">
        <v>34</v>
      </c>
      <c r="D12" s="2" t="str">
        <f t="shared" si="2"/>
        <v>Medellín</v>
      </c>
      <c r="E12" s="2" t="s">
        <v>49</v>
      </c>
      <c r="F12" s="2" t="str">
        <f>IFERROR(__xludf.DUMMYFUNCTION("SPLIT(E12, ""-"")"),"Tablet")</f>
        <v>Tablet</v>
      </c>
      <c r="G12" s="2" t="str">
        <f>IFERROR(__xludf.DUMMYFUNCTION("""COMPUTED_VALUE"""),"Estándar")</f>
        <v>Estándar</v>
      </c>
      <c r="H12" s="2" t="str">
        <f>IFERROR(__xludf.DUMMYFUNCTION("""COMPUTED_VALUE"""),"32GB")</f>
        <v>32GB</v>
      </c>
      <c r="I12" s="17">
        <v>1753.0</v>
      </c>
      <c r="J12" s="6">
        <v>5.0</v>
      </c>
      <c r="K12" s="17">
        <v>8765.0</v>
      </c>
      <c r="L12" s="2" t="s">
        <v>50</v>
      </c>
      <c r="M12" s="2" t="s">
        <v>51</v>
      </c>
      <c r="N12" s="2" t="s">
        <v>52</v>
      </c>
    </row>
    <row r="13" ht="15.75" customHeight="1">
      <c r="A13" s="18">
        <v>45572.0</v>
      </c>
      <c r="B13" s="16" t="str">
        <f t="shared" si="1"/>
        <v>October</v>
      </c>
      <c r="C13" s="3" t="s">
        <v>29</v>
      </c>
      <c r="D13" s="2" t="str">
        <f t="shared" si="2"/>
        <v>Ciudad De Mexico</v>
      </c>
      <c r="E13" s="2" t="s">
        <v>53</v>
      </c>
      <c r="F13" s="2" t="str">
        <f>IFERROR(__xludf.DUMMYFUNCTION("SPLIT(E13, ""-"")"),"Laptop")</f>
        <v>Laptop</v>
      </c>
      <c r="G13" s="2" t="str">
        <f>IFERROR(__xludf.DUMMYFUNCTION("""COMPUTED_VALUE"""),"Oficina")</f>
        <v>Oficina</v>
      </c>
      <c r="H13" s="2" t="str">
        <f>IFERROR(__xludf.DUMMYFUNCTION("""COMPUTED_VALUE"""),"8GB")</f>
        <v>8GB</v>
      </c>
      <c r="I13" s="17">
        <v>370.25</v>
      </c>
      <c r="J13" s="6">
        <v>4.0</v>
      </c>
      <c r="K13" s="17">
        <v>1481.0</v>
      </c>
      <c r="L13" s="2" t="s">
        <v>54</v>
      </c>
      <c r="M13" s="2" t="s">
        <v>55</v>
      </c>
      <c r="N13" s="2" t="s">
        <v>56</v>
      </c>
    </row>
    <row r="14" ht="15.75" customHeight="1">
      <c r="A14" s="18">
        <v>45572.0</v>
      </c>
      <c r="B14" s="16" t="str">
        <f t="shared" si="1"/>
        <v>October</v>
      </c>
      <c r="C14" s="2" t="s">
        <v>57</v>
      </c>
      <c r="D14" s="2" t="str">
        <f t="shared" si="2"/>
        <v>Guadalajara</v>
      </c>
      <c r="E14" s="2" t="s">
        <v>58</v>
      </c>
      <c r="F14" s="2" t="str">
        <f>IFERROR(__xludf.DUMMYFUNCTION("SPLIT(E14, ""-"")"),"Auriculares")</f>
        <v>Auriculares</v>
      </c>
      <c r="G14" s="2" t="str">
        <f>IFERROR(__xludf.DUMMYFUNCTION("""COMPUTED_VALUE"""),"Bluetooth")</f>
        <v>Bluetooth</v>
      </c>
      <c r="H14" s="2" t="str">
        <f>IFERROR(__xludf.DUMMYFUNCTION("""COMPUTED_VALUE"""),"4GB")</f>
        <v>4GB</v>
      </c>
      <c r="I14" s="17">
        <v>62.73</v>
      </c>
      <c r="J14" s="6">
        <v>3.0</v>
      </c>
      <c r="K14" s="17">
        <v>188.19</v>
      </c>
      <c r="L14" s="2" t="s">
        <v>59</v>
      </c>
      <c r="M14" s="2" t="s">
        <v>60</v>
      </c>
      <c r="N14" s="2" t="s">
        <v>61</v>
      </c>
    </row>
    <row r="15" ht="15.75" customHeight="1">
      <c r="A15" s="18">
        <v>45573.0</v>
      </c>
      <c r="B15" s="16" t="str">
        <f t="shared" si="1"/>
        <v>October</v>
      </c>
      <c r="C15" s="2" t="s">
        <v>34</v>
      </c>
      <c r="D15" s="2" t="str">
        <f t="shared" si="2"/>
        <v>Medellín</v>
      </c>
      <c r="E15" s="2" t="s">
        <v>62</v>
      </c>
      <c r="F15" s="2" t="str">
        <f>IFERROR(__xludf.DUMMYFUNCTION("SPLIT(E15, ""-"")"),"Laptop")</f>
        <v>Laptop</v>
      </c>
      <c r="G15" s="2" t="str">
        <f>IFERROR(__xludf.DUMMYFUNCTION("""COMPUTED_VALUE"""),"Ultraliviana")</f>
        <v>Ultraliviana</v>
      </c>
      <c r="H15" s="2" t="str">
        <f>IFERROR(__xludf.DUMMYFUNCTION("""COMPUTED_VALUE"""),"4GB")</f>
        <v>4GB</v>
      </c>
      <c r="I15" s="17">
        <v>2314.37</v>
      </c>
      <c r="J15" s="6">
        <v>5.0</v>
      </c>
      <c r="K15" s="17">
        <v>11571.85</v>
      </c>
      <c r="L15" s="2" t="s">
        <v>63</v>
      </c>
      <c r="M15" s="2" t="s">
        <v>64</v>
      </c>
      <c r="N15" s="2" t="s">
        <v>65</v>
      </c>
    </row>
    <row r="16" ht="15.75" customHeight="1">
      <c r="A16" s="18">
        <v>45573.0</v>
      </c>
      <c r="B16" s="16" t="str">
        <f t="shared" si="1"/>
        <v>October</v>
      </c>
      <c r="C16" s="2" t="s">
        <v>34</v>
      </c>
      <c r="D16" s="2" t="str">
        <f t="shared" si="2"/>
        <v>Medellín</v>
      </c>
      <c r="E16" s="2" t="s">
        <v>66</v>
      </c>
      <c r="F16" s="2" t="str">
        <f>IFERROR(__xludf.DUMMYFUNCTION("SPLIT(E16, ""-"")"),"Tablet")</f>
        <v>Tablet</v>
      </c>
      <c r="G16" s="2" t="str">
        <f>IFERROR(__xludf.DUMMYFUNCTION("""COMPUTED_VALUE"""),"Estándar")</f>
        <v>Estándar</v>
      </c>
      <c r="H16" s="2" t="str">
        <f>IFERROR(__xludf.DUMMYFUNCTION("""COMPUTED_VALUE"""),"4GB")</f>
        <v>4GB</v>
      </c>
      <c r="I16" s="17">
        <v>2168.25</v>
      </c>
      <c r="J16" s="6">
        <v>3.0</v>
      </c>
      <c r="K16" s="17">
        <v>6504.75</v>
      </c>
      <c r="L16" s="2" t="s">
        <v>67</v>
      </c>
      <c r="M16" s="2" t="s">
        <v>68</v>
      </c>
      <c r="N16" s="2" t="s">
        <v>69</v>
      </c>
    </row>
    <row r="17" ht="15.75" customHeight="1">
      <c r="A17" s="18">
        <v>45574.0</v>
      </c>
      <c r="B17" s="16" t="str">
        <f t="shared" si="1"/>
        <v>October</v>
      </c>
      <c r="C17" s="2" t="s">
        <v>14</v>
      </c>
      <c r="D17" s="2" t="str">
        <f t="shared" si="2"/>
        <v>Bogotá</v>
      </c>
      <c r="E17" s="2" t="s">
        <v>70</v>
      </c>
      <c r="F17" s="2" t="str">
        <f>IFERROR(__xludf.DUMMYFUNCTION("SPLIT(E17, ""-"")"),"Auriculares")</f>
        <v>Auriculares</v>
      </c>
      <c r="G17" s="2" t="str">
        <f>IFERROR(__xludf.DUMMYFUNCTION("""COMPUTED_VALUE"""),"Bluetooth")</f>
        <v>Bluetooth</v>
      </c>
      <c r="H17" s="2" t="str">
        <f>IFERROR(__xludf.DUMMYFUNCTION("""COMPUTED_VALUE"""),"16GB")</f>
        <v>16GB</v>
      </c>
      <c r="I17" s="17">
        <v>120.46</v>
      </c>
      <c r="J17" s="6">
        <v>1.0</v>
      </c>
      <c r="K17" s="17">
        <v>120.46</v>
      </c>
      <c r="L17" s="2" t="s">
        <v>71</v>
      </c>
      <c r="M17" s="2" t="s">
        <v>72</v>
      </c>
      <c r="N17" s="2" t="s">
        <v>73</v>
      </c>
    </row>
    <row r="18" ht="15.75" customHeight="1">
      <c r="A18" s="18">
        <v>45574.0</v>
      </c>
      <c r="B18" s="16" t="str">
        <f t="shared" si="1"/>
        <v>October</v>
      </c>
      <c r="C18" s="2" t="s">
        <v>74</v>
      </c>
      <c r="D18" s="2" t="str">
        <f t="shared" si="2"/>
        <v>Cali</v>
      </c>
      <c r="E18" s="2" t="s">
        <v>75</v>
      </c>
      <c r="F18" s="2" t="str">
        <f>IFERROR(__xludf.DUMMYFUNCTION("SPLIT(E18, ""-"")"),"Tablet")</f>
        <v>Tablet</v>
      </c>
      <c r="G18" s="2" t="str">
        <f>IFERROR(__xludf.DUMMYFUNCTION("""COMPUTED_VALUE"""),"Mini")</f>
        <v>Mini</v>
      </c>
      <c r="H18" s="2" t="str">
        <f>IFERROR(__xludf.DUMMYFUNCTION("""COMPUTED_VALUE"""),"32GB")</f>
        <v>32GB</v>
      </c>
      <c r="I18" s="17">
        <v>525.13</v>
      </c>
      <c r="J18" s="6">
        <v>2.0</v>
      </c>
      <c r="K18" s="17">
        <v>1050.26</v>
      </c>
      <c r="L18" s="2" t="s">
        <v>76</v>
      </c>
      <c r="M18" s="2" t="s">
        <v>77</v>
      </c>
      <c r="N18" s="2" t="s">
        <v>78</v>
      </c>
    </row>
    <row r="19" ht="15.75" customHeight="1">
      <c r="A19" s="18">
        <v>45575.0</v>
      </c>
      <c r="B19" s="16" t="str">
        <f t="shared" si="1"/>
        <v>October</v>
      </c>
      <c r="C19" s="3" t="s">
        <v>14</v>
      </c>
      <c r="D19" s="2" t="str">
        <f t="shared" si="2"/>
        <v>Bogotá</v>
      </c>
      <c r="E19" s="2" t="s">
        <v>79</v>
      </c>
      <c r="F19" s="2" t="str">
        <f>IFERROR(__xludf.DUMMYFUNCTION("SPLIT(E19, ""-"")"),"Laptop")</f>
        <v>Laptop</v>
      </c>
      <c r="G19" s="2" t="str">
        <f>IFERROR(__xludf.DUMMYFUNCTION("""COMPUTED_VALUE"""),"Oficina")</f>
        <v>Oficina</v>
      </c>
      <c r="H19" s="2" t="str">
        <f>IFERROR(__xludf.DUMMYFUNCTION("""COMPUTED_VALUE"""),"16GB")</f>
        <v>16GB</v>
      </c>
      <c r="I19" s="17">
        <v>278.37</v>
      </c>
      <c r="J19" s="6">
        <v>3.0</v>
      </c>
      <c r="K19" s="17">
        <v>835.11</v>
      </c>
      <c r="L19" s="3" t="s">
        <v>80</v>
      </c>
      <c r="M19" s="2" t="s">
        <v>81</v>
      </c>
      <c r="N19" s="2" t="s">
        <v>82</v>
      </c>
    </row>
    <row r="20" ht="15.75" customHeight="1">
      <c r="A20" s="18">
        <v>45575.0</v>
      </c>
      <c r="B20" s="16" t="str">
        <f t="shared" si="1"/>
        <v>October</v>
      </c>
      <c r="C20" s="2" t="s">
        <v>34</v>
      </c>
      <c r="D20" s="2" t="str">
        <f t="shared" si="2"/>
        <v>Medellín</v>
      </c>
      <c r="E20" s="2" t="s">
        <v>83</v>
      </c>
      <c r="F20" s="2" t="str">
        <f>IFERROR(__xludf.DUMMYFUNCTION("SPLIT(E20, ""-"")"),"Teléfono")</f>
        <v>Teléfono</v>
      </c>
      <c r="G20" s="2" t="str">
        <f>IFERROR(__xludf.DUMMYFUNCTION("""COMPUTED_VALUE"""),"Gama media")</f>
        <v>Gama media</v>
      </c>
      <c r="H20" s="2" t="str">
        <f>IFERROR(__xludf.DUMMYFUNCTION("""COMPUTED_VALUE"""),"32GB")</f>
        <v>32GB</v>
      </c>
      <c r="I20" s="17">
        <v>157.57</v>
      </c>
      <c r="J20" s="6">
        <v>2.0</v>
      </c>
      <c r="K20" s="17">
        <v>315.14</v>
      </c>
      <c r="L20" s="2" t="s">
        <v>84</v>
      </c>
      <c r="M20" s="2" t="s">
        <v>85</v>
      </c>
      <c r="N20" s="2" t="s">
        <v>86</v>
      </c>
    </row>
    <row r="21" ht="15.75" customHeight="1">
      <c r="A21" s="18">
        <v>45575.0</v>
      </c>
      <c r="B21" s="16" t="str">
        <f t="shared" si="1"/>
        <v>October</v>
      </c>
      <c r="C21" s="2" t="s">
        <v>87</v>
      </c>
      <c r="D21" s="2" t="str">
        <f t="shared" si="2"/>
        <v>Tulum</v>
      </c>
      <c r="E21" s="2" t="s">
        <v>88</v>
      </c>
      <c r="F21" s="2" t="str">
        <f>IFERROR(__xludf.DUMMYFUNCTION("SPLIT(E21, ""-"")"),"Laptop")</f>
        <v>Laptop</v>
      </c>
      <c r="G21" s="2" t="str">
        <f>IFERROR(__xludf.DUMMYFUNCTION("""COMPUTED_VALUE"""),"Gaming")</f>
        <v>Gaming</v>
      </c>
      <c r="H21" s="2" t="str">
        <f>IFERROR(__xludf.DUMMYFUNCTION("""COMPUTED_VALUE"""),"32GB")</f>
        <v>32GB</v>
      </c>
      <c r="I21" s="17">
        <v>981.62</v>
      </c>
      <c r="J21" s="6">
        <v>5.0</v>
      </c>
      <c r="K21" s="17">
        <v>4908.1</v>
      </c>
      <c r="L21" s="2" t="s">
        <v>89</v>
      </c>
      <c r="M21" s="2" t="s">
        <v>90</v>
      </c>
      <c r="N21" s="2" t="s">
        <v>91</v>
      </c>
    </row>
    <row r="22" ht="15.75" customHeight="1">
      <c r="A22" s="18">
        <v>45575.0</v>
      </c>
      <c r="B22" s="16" t="str">
        <f t="shared" si="1"/>
        <v>October</v>
      </c>
      <c r="C22" s="3" t="s">
        <v>29</v>
      </c>
      <c r="D22" s="2" t="str">
        <f t="shared" si="2"/>
        <v>Ciudad De Mexico</v>
      </c>
      <c r="E22" s="2" t="s">
        <v>92</v>
      </c>
      <c r="F22" s="2" t="str">
        <f>IFERROR(__xludf.DUMMYFUNCTION("SPLIT(E22, ""-"")"),"Tablet")</f>
        <v>Tablet</v>
      </c>
      <c r="G22" s="2" t="str">
        <f>IFERROR(__xludf.DUMMYFUNCTION("""COMPUTED_VALUE"""),"Mini")</f>
        <v>Mini</v>
      </c>
      <c r="H22" s="2" t="str">
        <f>IFERROR(__xludf.DUMMYFUNCTION("""COMPUTED_VALUE"""),"8GB")</f>
        <v>8GB</v>
      </c>
      <c r="I22" s="17">
        <v>646.22</v>
      </c>
      <c r="J22" s="6">
        <v>2.0</v>
      </c>
      <c r="K22" s="17">
        <v>1292.44</v>
      </c>
      <c r="L22" s="2" t="s">
        <v>93</v>
      </c>
      <c r="M22" s="2" t="s">
        <v>94</v>
      </c>
      <c r="N22" s="2" t="s">
        <v>95</v>
      </c>
    </row>
    <row r="23" ht="15.75" customHeight="1">
      <c r="A23" s="18">
        <v>45575.0</v>
      </c>
      <c r="B23" s="16" t="str">
        <f t="shared" si="1"/>
        <v>October</v>
      </c>
      <c r="C23" s="2" t="s">
        <v>57</v>
      </c>
      <c r="D23" s="2" t="str">
        <f t="shared" si="2"/>
        <v>Guadalajara</v>
      </c>
      <c r="E23" s="2" t="s">
        <v>35</v>
      </c>
      <c r="F23" s="2" t="str">
        <f>IFERROR(__xludf.DUMMYFUNCTION("SPLIT(E23, ""-"")"),"Tablet")</f>
        <v>Tablet</v>
      </c>
      <c r="G23" s="2" t="str">
        <f>IFERROR(__xludf.DUMMYFUNCTION("""COMPUTED_VALUE"""),"Pro")</f>
        <v>Pro</v>
      </c>
      <c r="H23" s="2" t="str">
        <f>IFERROR(__xludf.DUMMYFUNCTION("""COMPUTED_VALUE"""),"4GB")</f>
        <v>4GB</v>
      </c>
      <c r="I23" s="17">
        <v>1848.98</v>
      </c>
      <c r="J23" s="6">
        <v>3.0</v>
      </c>
      <c r="K23" s="17">
        <v>5546.94</v>
      </c>
      <c r="L23" s="2" t="s">
        <v>96</v>
      </c>
      <c r="M23" s="2" t="s">
        <v>97</v>
      </c>
      <c r="N23" s="2" t="s">
        <v>98</v>
      </c>
    </row>
    <row r="24" ht="15.75" customHeight="1">
      <c r="A24" s="18">
        <v>45575.0</v>
      </c>
      <c r="B24" s="16" t="str">
        <f t="shared" si="1"/>
        <v>October</v>
      </c>
      <c r="C24" s="2" t="s">
        <v>74</v>
      </c>
      <c r="D24" s="2" t="str">
        <f t="shared" si="2"/>
        <v>Cali</v>
      </c>
      <c r="E24" s="2" t="s">
        <v>30</v>
      </c>
      <c r="F24" s="2" t="str">
        <f>IFERROR(__xludf.DUMMYFUNCTION("SPLIT(E24, ""-"")"),"Teléfono")</f>
        <v>Teléfono</v>
      </c>
      <c r="G24" s="2" t="str">
        <f>IFERROR(__xludf.DUMMYFUNCTION("""COMPUTED_VALUE"""),"Gama alta")</f>
        <v>Gama alta</v>
      </c>
      <c r="H24" s="2" t="str">
        <f>IFERROR(__xludf.DUMMYFUNCTION("""COMPUTED_VALUE"""),"32GB")</f>
        <v>32GB</v>
      </c>
      <c r="I24" s="17">
        <v>1420.28</v>
      </c>
      <c r="J24" s="6">
        <v>4.0</v>
      </c>
      <c r="K24" s="17">
        <v>5681.12</v>
      </c>
      <c r="L24" s="2" t="s">
        <v>99</v>
      </c>
      <c r="M24" s="2" t="s">
        <v>100</v>
      </c>
      <c r="N24" s="2" t="s">
        <v>101</v>
      </c>
    </row>
    <row r="25" ht="15.75" customHeight="1">
      <c r="A25" s="18">
        <v>45576.0</v>
      </c>
      <c r="B25" s="16" t="str">
        <f t="shared" si="1"/>
        <v>October</v>
      </c>
      <c r="C25" s="2" t="s">
        <v>34</v>
      </c>
      <c r="D25" s="2" t="str">
        <f t="shared" si="2"/>
        <v>Medellín</v>
      </c>
      <c r="E25" s="2" t="s">
        <v>70</v>
      </c>
      <c r="F25" s="2" t="str">
        <f>IFERROR(__xludf.DUMMYFUNCTION("SPLIT(E25, ""-"")"),"Auriculares")</f>
        <v>Auriculares</v>
      </c>
      <c r="G25" s="2" t="str">
        <f>IFERROR(__xludf.DUMMYFUNCTION("""COMPUTED_VALUE"""),"Bluetooth")</f>
        <v>Bluetooth</v>
      </c>
      <c r="H25" s="2" t="str">
        <f>IFERROR(__xludf.DUMMYFUNCTION("""COMPUTED_VALUE"""),"16GB")</f>
        <v>16GB</v>
      </c>
      <c r="I25" s="17">
        <v>2208.12</v>
      </c>
      <c r="J25" s="6">
        <v>2.0</v>
      </c>
      <c r="K25" s="17">
        <v>4416.24</v>
      </c>
      <c r="L25" s="2" t="s">
        <v>102</v>
      </c>
      <c r="M25" s="2" t="s">
        <v>103</v>
      </c>
      <c r="N25" s="2" t="s">
        <v>104</v>
      </c>
    </row>
    <row r="26" ht="15.75" customHeight="1">
      <c r="A26" s="18">
        <v>45576.0</v>
      </c>
      <c r="B26" s="16" t="str">
        <f t="shared" si="1"/>
        <v>October</v>
      </c>
      <c r="C26" s="2" t="s">
        <v>34</v>
      </c>
      <c r="D26" s="2" t="str">
        <f t="shared" si="2"/>
        <v>Medellín</v>
      </c>
      <c r="E26" s="2" t="s">
        <v>22</v>
      </c>
      <c r="F26" s="2" t="str">
        <f>IFERROR(__xludf.DUMMYFUNCTION("SPLIT(E26, ""-"")"),"Tablet")</f>
        <v>Tablet</v>
      </c>
      <c r="G26" s="2" t="str">
        <f>IFERROR(__xludf.DUMMYFUNCTION("""COMPUTED_VALUE"""),"Estándar")</f>
        <v>Estándar</v>
      </c>
      <c r="H26" s="2" t="str">
        <f>IFERROR(__xludf.DUMMYFUNCTION("""COMPUTED_VALUE"""),"16GB")</f>
        <v>16GB</v>
      </c>
      <c r="I26" s="17">
        <v>591.94</v>
      </c>
      <c r="J26" s="6">
        <v>2.0</v>
      </c>
      <c r="K26" s="17">
        <v>1183.88</v>
      </c>
      <c r="L26" s="2" t="s">
        <v>105</v>
      </c>
      <c r="M26" s="2" t="s">
        <v>106</v>
      </c>
      <c r="N26" s="2" t="s">
        <v>107</v>
      </c>
    </row>
    <row r="27" ht="15.75" customHeight="1">
      <c r="A27" s="18">
        <v>45576.0</v>
      </c>
      <c r="B27" s="16" t="str">
        <f t="shared" si="1"/>
        <v>October</v>
      </c>
      <c r="C27" s="2" t="s">
        <v>9</v>
      </c>
      <c r="D27" s="2" t="str">
        <f t="shared" si="2"/>
        <v>Monterrey</v>
      </c>
      <c r="E27" s="2" t="s">
        <v>58</v>
      </c>
      <c r="F27" s="2" t="str">
        <f>IFERROR(__xludf.DUMMYFUNCTION("SPLIT(E27, ""-"")"),"Auriculares")</f>
        <v>Auriculares</v>
      </c>
      <c r="G27" s="2" t="str">
        <f>IFERROR(__xludf.DUMMYFUNCTION("""COMPUTED_VALUE"""),"Bluetooth")</f>
        <v>Bluetooth</v>
      </c>
      <c r="H27" s="2" t="str">
        <f>IFERROR(__xludf.DUMMYFUNCTION("""COMPUTED_VALUE"""),"4GB")</f>
        <v>4GB</v>
      </c>
      <c r="I27" s="17">
        <v>1429.89</v>
      </c>
      <c r="J27" s="6">
        <v>4.0</v>
      </c>
      <c r="K27" s="17">
        <v>5719.56</v>
      </c>
      <c r="L27" s="2" t="s">
        <v>108</v>
      </c>
      <c r="M27" s="2" t="s">
        <v>109</v>
      </c>
      <c r="N27" s="2" t="s">
        <v>110</v>
      </c>
    </row>
    <row r="28" ht="15.75" customHeight="1">
      <c r="A28" s="18">
        <v>45576.0</v>
      </c>
      <c r="B28" s="16" t="str">
        <f t="shared" si="1"/>
        <v>October</v>
      </c>
      <c r="C28" s="2" t="s">
        <v>34</v>
      </c>
      <c r="D28" s="2" t="str">
        <f t="shared" si="2"/>
        <v>Medellín</v>
      </c>
      <c r="E28" s="2" t="s">
        <v>39</v>
      </c>
      <c r="F28" s="2" t="str">
        <f>IFERROR(__xludf.DUMMYFUNCTION("SPLIT(E28, ""-"")"),"Auriculares")</f>
        <v>Auriculares</v>
      </c>
      <c r="G28" s="2" t="str">
        <f>IFERROR(__xludf.DUMMYFUNCTION("""COMPUTED_VALUE"""),"Con cable")</f>
        <v>Con cable</v>
      </c>
      <c r="H28" s="2" t="str">
        <f>IFERROR(__xludf.DUMMYFUNCTION("""COMPUTED_VALUE"""),"8GB")</f>
        <v>8GB</v>
      </c>
      <c r="I28" s="17">
        <v>2085.29</v>
      </c>
      <c r="J28" s="6">
        <v>1.0</v>
      </c>
      <c r="K28" s="17">
        <v>2085.29</v>
      </c>
      <c r="L28" s="2" t="s">
        <v>111</v>
      </c>
      <c r="M28" s="2" t="s">
        <v>112</v>
      </c>
      <c r="N28" s="8" t="s">
        <v>113</v>
      </c>
    </row>
    <row r="29" ht="15.75" customHeight="1">
      <c r="A29" s="18">
        <v>45576.0</v>
      </c>
      <c r="B29" s="16" t="str">
        <f t="shared" si="1"/>
        <v>October</v>
      </c>
      <c r="C29" s="2" t="s">
        <v>114</v>
      </c>
      <c r="D29" s="2" t="str">
        <f t="shared" si="2"/>
        <v>Guadalajara</v>
      </c>
      <c r="E29" s="2" t="s">
        <v>115</v>
      </c>
      <c r="F29" s="2" t="str">
        <f>IFERROR(__xludf.DUMMYFUNCTION("SPLIT(E29, ""-"")"),"Teléfono")</f>
        <v>Teléfono</v>
      </c>
      <c r="G29" s="2" t="str">
        <f>IFERROR(__xludf.DUMMYFUNCTION("""COMPUTED_VALUE"""),"Gama baja")</f>
        <v>Gama baja</v>
      </c>
      <c r="H29" s="2" t="str">
        <f>IFERROR(__xludf.DUMMYFUNCTION("""COMPUTED_VALUE"""),"16GB")</f>
        <v>16GB</v>
      </c>
      <c r="I29" s="17">
        <v>724.28</v>
      </c>
      <c r="J29" s="6">
        <v>3.0</v>
      </c>
      <c r="K29" s="17">
        <v>2172.84</v>
      </c>
      <c r="L29" s="2" t="s">
        <v>116</v>
      </c>
      <c r="M29" s="2" t="s">
        <v>117</v>
      </c>
      <c r="N29" s="2" t="s">
        <v>118</v>
      </c>
    </row>
    <row r="30" ht="15.75" customHeight="1">
      <c r="A30" s="18">
        <v>45576.0</v>
      </c>
      <c r="B30" s="16" t="str">
        <f t="shared" si="1"/>
        <v>October</v>
      </c>
      <c r="C30" s="2" t="s">
        <v>74</v>
      </c>
      <c r="D30" s="2" t="str">
        <f t="shared" si="2"/>
        <v>Cali</v>
      </c>
      <c r="E30" s="2" t="s">
        <v>119</v>
      </c>
      <c r="F30" s="2" t="str">
        <f>IFERROR(__xludf.DUMMYFUNCTION("SPLIT(E30, ""-"")"),"Teléfono")</f>
        <v>Teléfono</v>
      </c>
      <c r="G30" s="2" t="str">
        <f>IFERROR(__xludf.DUMMYFUNCTION("""COMPUTED_VALUE"""),"Gama alta")</f>
        <v>Gama alta</v>
      </c>
      <c r="H30" s="2" t="str">
        <f>IFERROR(__xludf.DUMMYFUNCTION("""COMPUTED_VALUE"""),"8GB")</f>
        <v>8GB</v>
      </c>
      <c r="I30" s="17">
        <v>1859.58</v>
      </c>
      <c r="J30" s="6">
        <v>3.0</v>
      </c>
      <c r="K30" s="17">
        <v>5578.74</v>
      </c>
      <c r="L30" s="2" t="s">
        <v>120</v>
      </c>
      <c r="M30" s="2" t="s">
        <v>121</v>
      </c>
      <c r="N30" s="2" t="s">
        <v>122</v>
      </c>
    </row>
    <row r="31" ht="15.75" customHeight="1">
      <c r="A31" s="18">
        <v>45576.0</v>
      </c>
      <c r="B31" s="16" t="str">
        <f t="shared" si="1"/>
        <v>October</v>
      </c>
      <c r="C31" s="2" t="s">
        <v>34</v>
      </c>
      <c r="D31" s="2" t="str">
        <f t="shared" si="2"/>
        <v>Medellín</v>
      </c>
      <c r="E31" s="19" t="s">
        <v>2340</v>
      </c>
      <c r="F31" s="2" t="str">
        <f>IFERROR(__xludf.DUMMYFUNCTION("SPLIT(E31, ""-"")"),"Teléfono")</f>
        <v>Teléfono</v>
      </c>
      <c r="G31" s="2" t="str">
        <f>IFERROR(__xludf.DUMMYFUNCTION("""COMPUTED_VALUE"""),"Gama media")</f>
        <v>Gama media</v>
      </c>
      <c r="H31" s="2" t="str">
        <f>IFERROR(__xludf.DUMMYFUNCTION("""COMPUTED_VALUE"""),"8GB")</f>
        <v>8GB</v>
      </c>
      <c r="I31" s="17">
        <v>218.17</v>
      </c>
      <c r="J31" s="6">
        <v>4.0</v>
      </c>
      <c r="K31" s="17">
        <v>872.68</v>
      </c>
      <c r="L31" s="2" t="s">
        <v>124</v>
      </c>
      <c r="M31" s="2" t="s">
        <v>125</v>
      </c>
      <c r="N31" s="2" t="s">
        <v>126</v>
      </c>
    </row>
    <row r="32" ht="15.75" customHeight="1">
      <c r="A32" s="18">
        <v>45576.0</v>
      </c>
      <c r="B32" s="16" t="str">
        <f t="shared" si="1"/>
        <v>October</v>
      </c>
      <c r="C32" s="3" t="s">
        <v>29</v>
      </c>
      <c r="D32" s="2" t="str">
        <f t="shared" si="2"/>
        <v>Ciudad De Mexico</v>
      </c>
      <c r="E32" s="2" t="s">
        <v>35</v>
      </c>
      <c r="F32" s="2" t="str">
        <f>IFERROR(__xludf.DUMMYFUNCTION("SPLIT(E32, ""-"")"),"Tablet")</f>
        <v>Tablet</v>
      </c>
      <c r="G32" s="2" t="str">
        <f>IFERROR(__xludf.DUMMYFUNCTION("""COMPUTED_VALUE"""),"Pro")</f>
        <v>Pro</v>
      </c>
      <c r="H32" s="2" t="str">
        <f>IFERROR(__xludf.DUMMYFUNCTION("""COMPUTED_VALUE"""),"4GB")</f>
        <v>4GB</v>
      </c>
      <c r="I32" s="17">
        <v>1375.85</v>
      </c>
      <c r="J32" s="6">
        <v>1.0</v>
      </c>
      <c r="K32" s="17">
        <v>1375.85</v>
      </c>
      <c r="L32" s="2" t="s">
        <v>127</v>
      </c>
      <c r="M32" s="2" t="s">
        <v>128</v>
      </c>
      <c r="N32" s="2" t="s">
        <v>129</v>
      </c>
    </row>
    <row r="33" ht="15.75" customHeight="1">
      <c r="A33" s="18">
        <v>45576.0</v>
      </c>
      <c r="B33" s="16" t="str">
        <f t="shared" si="1"/>
        <v>October</v>
      </c>
      <c r="C33" s="2" t="s">
        <v>57</v>
      </c>
      <c r="D33" s="2" t="str">
        <f t="shared" si="2"/>
        <v>Guadalajara</v>
      </c>
      <c r="E33" s="2" t="s">
        <v>130</v>
      </c>
      <c r="F33" s="2" t="str">
        <f>IFERROR(__xludf.DUMMYFUNCTION("SPLIT(E33, ""-"")"),"Tablet")</f>
        <v>Tablet</v>
      </c>
      <c r="G33" s="2" t="str">
        <f>IFERROR(__xludf.DUMMYFUNCTION("""COMPUTED_VALUE"""),"Pro")</f>
        <v>Pro</v>
      </c>
      <c r="H33" s="2" t="str">
        <f>IFERROR(__xludf.DUMMYFUNCTION("""COMPUTED_VALUE"""),"8GB")</f>
        <v>8GB</v>
      </c>
      <c r="I33" s="17">
        <v>421.59</v>
      </c>
      <c r="J33" s="6">
        <v>2.0</v>
      </c>
      <c r="K33" s="17">
        <v>843.18</v>
      </c>
      <c r="L33" s="2" t="s">
        <v>131</v>
      </c>
      <c r="M33" s="2" t="s">
        <v>132</v>
      </c>
      <c r="N33" s="2" t="s">
        <v>133</v>
      </c>
    </row>
    <row r="34" ht="15.75" customHeight="1">
      <c r="A34" s="18">
        <v>45576.0</v>
      </c>
      <c r="B34" s="16" t="str">
        <f t="shared" si="1"/>
        <v>October</v>
      </c>
      <c r="C34" s="2" t="s">
        <v>9</v>
      </c>
      <c r="D34" s="2" t="str">
        <f t="shared" si="2"/>
        <v>Monterrey</v>
      </c>
      <c r="E34" s="2" t="s">
        <v>75</v>
      </c>
      <c r="F34" s="2" t="str">
        <f>IFERROR(__xludf.DUMMYFUNCTION("SPLIT(E34, ""-"")"),"Tablet")</f>
        <v>Tablet</v>
      </c>
      <c r="G34" s="2" t="str">
        <f>IFERROR(__xludf.DUMMYFUNCTION("""COMPUTED_VALUE"""),"Mini")</f>
        <v>Mini</v>
      </c>
      <c r="H34" s="2" t="str">
        <f>IFERROR(__xludf.DUMMYFUNCTION("""COMPUTED_VALUE"""),"32GB")</f>
        <v>32GB</v>
      </c>
      <c r="I34" s="17">
        <v>2288.18</v>
      </c>
      <c r="J34" s="6">
        <v>1.0</v>
      </c>
      <c r="K34" s="17">
        <v>2288.18</v>
      </c>
      <c r="L34" s="2" t="s">
        <v>134</v>
      </c>
      <c r="M34" s="2" t="s">
        <v>135</v>
      </c>
      <c r="N34" s="2" t="s">
        <v>136</v>
      </c>
    </row>
    <row r="35" ht="15.75" customHeight="1">
      <c r="A35" s="18">
        <v>45576.0</v>
      </c>
      <c r="B35" s="16" t="str">
        <f t="shared" si="1"/>
        <v>October</v>
      </c>
      <c r="C35" s="2" t="s">
        <v>9</v>
      </c>
      <c r="D35" s="2" t="str">
        <f t="shared" si="2"/>
        <v>Monterrey</v>
      </c>
      <c r="E35" s="2" t="s">
        <v>137</v>
      </c>
      <c r="F35" s="2" t="str">
        <f>IFERROR(__xludf.DUMMYFUNCTION("SPLIT(E35, ""-"")"),"Auriculares")</f>
        <v>Auriculares</v>
      </c>
      <c r="G35" s="2" t="str">
        <f>IFERROR(__xludf.DUMMYFUNCTION("""COMPUTED_VALUE"""),"Con cable")</f>
        <v>Con cable</v>
      </c>
      <c r="H35" s="2" t="str">
        <f>IFERROR(__xludf.DUMMYFUNCTION("""COMPUTED_VALUE"""),"16GB")</f>
        <v>16GB</v>
      </c>
      <c r="I35" s="17">
        <v>1699.32</v>
      </c>
      <c r="J35" s="6">
        <v>4.0</v>
      </c>
      <c r="K35" s="17">
        <v>6797.28</v>
      </c>
      <c r="L35" s="2" t="s">
        <v>138</v>
      </c>
      <c r="M35" s="2" t="s">
        <v>139</v>
      </c>
      <c r="N35" s="2" t="s">
        <v>140</v>
      </c>
    </row>
    <row r="36" ht="15.75" customHeight="1">
      <c r="A36" s="18">
        <v>45576.0</v>
      </c>
      <c r="B36" s="16" t="str">
        <f t="shared" si="1"/>
        <v>October</v>
      </c>
      <c r="C36" s="2" t="s">
        <v>74</v>
      </c>
      <c r="D36" s="2" t="str">
        <f t="shared" si="2"/>
        <v>Cali</v>
      </c>
      <c r="E36" s="2" t="s">
        <v>75</v>
      </c>
      <c r="F36" s="2" t="str">
        <f>IFERROR(__xludf.DUMMYFUNCTION("SPLIT(E36, ""-"")"),"Tablet")</f>
        <v>Tablet</v>
      </c>
      <c r="G36" s="2" t="str">
        <f>IFERROR(__xludf.DUMMYFUNCTION("""COMPUTED_VALUE"""),"Mini")</f>
        <v>Mini</v>
      </c>
      <c r="H36" s="2" t="str">
        <f>IFERROR(__xludf.DUMMYFUNCTION("""COMPUTED_VALUE"""),"32GB")</f>
        <v>32GB</v>
      </c>
      <c r="I36" s="17">
        <v>1578.34</v>
      </c>
      <c r="J36" s="6">
        <v>3.0</v>
      </c>
      <c r="K36" s="17">
        <v>4735.02</v>
      </c>
      <c r="L36" s="2" t="s">
        <v>141</v>
      </c>
      <c r="M36" s="2" t="s">
        <v>142</v>
      </c>
      <c r="N36" s="2" t="s">
        <v>143</v>
      </c>
    </row>
    <row r="37" ht="15.75" customHeight="1">
      <c r="A37" s="18">
        <v>45577.0</v>
      </c>
      <c r="B37" s="16" t="str">
        <f t="shared" si="1"/>
        <v>October</v>
      </c>
      <c r="C37" s="2" t="s">
        <v>14</v>
      </c>
      <c r="D37" s="2" t="str">
        <f t="shared" si="2"/>
        <v>Bogotá</v>
      </c>
      <c r="E37" s="2" t="s">
        <v>144</v>
      </c>
      <c r="F37" s="2" t="str">
        <f>IFERROR(__xludf.DUMMYFUNCTION("SPLIT(E37, ""-"")"),"Teléfono")</f>
        <v>Teléfono</v>
      </c>
      <c r="G37" s="2" t="str">
        <f>IFERROR(__xludf.DUMMYFUNCTION("""COMPUTED_VALUE"""),"Gama alta")</f>
        <v>Gama alta</v>
      </c>
      <c r="H37" s="2" t="str">
        <f>IFERROR(__xludf.DUMMYFUNCTION("""COMPUTED_VALUE"""),"16GB ")</f>
        <v>16GB </v>
      </c>
      <c r="I37" s="17">
        <v>1445.1</v>
      </c>
      <c r="J37" s="6">
        <v>4.0</v>
      </c>
      <c r="K37" s="17">
        <v>5780.4</v>
      </c>
      <c r="L37" s="2" t="s">
        <v>145</v>
      </c>
      <c r="M37" s="2" t="s">
        <v>146</v>
      </c>
      <c r="N37" s="2" t="s">
        <v>147</v>
      </c>
    </row>
    <row r="38" ht="15.75" customHeight="1">
      <c r="A38" s="18">
        <v>45577.0</v>
      </c>
      <c r="B38" s="16" t="str">
        <f t="shared" si="1"/>
        <v>October</v>
      </c>
      <c r="C38" s="2" t="s">
        <v>57</v>
      </c>
      <c r="D38" s="2" t="str">
        <f t="shared" si="2"/>
        <v>Guadalajara</v>
      </c>
      <c r="E38" s="2" t="s">
        <v>58</v>
      </c>
      <c r="F38" s="2" t="str">
        <f>IFERROR(__xludf.DUMMYFUNCTION("SPLIT(E38, ""-"")"),"Auriculares")</f>
        <v>Auriculares</v>
      </c>
      <c r="G38" s="2" t="str">
        <f>IFERROR(__xludf.DUMMYFUNCTION("""COMPUTED_VALUE"""),"Bluetooth")</f>
        <v>Bluetooth</v>
      </c>
      <c r="H38" s="2" t="str">
        <f>IFERROR(__xludf.DUMMYFUNCTION("""COMPUTED_VALUE"""),"4GB")</f>
        <v>4GB</v>
      </c>
      <c r="I38" s="17">
        <v>1065.52</v>
      </c>
      <c r="J38" s="6">
        <v>2.0</v>
      </c>
      <c r="K38" s="17">
        <v>2131.04</v>
      </c>
      <c r="L38" s="2" t="s">
        <v>148</v>
      </c>
      <c r="M38" s="2" t="s">
        <v>149</v>
      </c>
      <c r="N38" s="2" t="s">
        <v>150</v>
      </c>
    </row>
    <row r="39" ht="15.75" customHeight="1">
      <c r="A39" s="18">
        <v>45577.0</v>
      </c>
      <c r="B39" s="16" t="str">
        <f t="shared" si="1"/>
        <v>October</v>
      </c>
      <c r="C39" s="3" t="s">
        <v>29</v>
      </c>
      <c r="D39" s="2" t="str">
        <f t="shared" si="2"/>
        <v>Ciudad De Mexico</v>
      </c>
      <c r="E39" s="2" t="s">
        <v>151</v>
      </c>
      <c r="F39" s="2" t="str">
        <f>IFERROR(__xludf.DUMMYFUNCTION("SPLIT(E39, ""-"")"),"Laptop")</f>
        <v>Laptop</v>
      </c>
      <c r="G39" s="2" t="str">
        <f>IFERROR(__xludf.DUMMYFUNCTION("""COMPUTED_VALUE"""),"Gaming")</f>
        <v>Gaming</v>
      </c>
      <c r="H39" s="2" t="str">
        <f>IFERROR(__xludf.DUMMYFUNCTION("""COMPUTED_VALUE"""),"8GB")</f>
        <v>8GB</v>
      </c>
      <c r="I39" s="17">
        <v>2095.66</v>
      </c>
      <c r="J39" s="6">
        <v>5.0</v>
      </c>
      <c r="K39" s="17">
        <v>10478.3</v>
      </c>
      <c r="L39" s="2" t="s">
        <v>152</v>
      </c>
      <c r="M39" s="2" t="s">
        <v>153</v>
      </c>
      <c r="N39" s="2" t="s">
        <v>154</v>
      </c>
    </row>
    <row r="40" ht="15.75" customHeight="1">
      <c r="A40" s="18">
        <v>45577.0</v>
      </c>
      <c r="B40" s="16" t="str">
        <f t="shared" si="1"/>
        <v>October</v>
      </c>
      <c r="C40" s="2" t="s">
        <v>57</v>
      </c>
      <c r="D40" s="2" t="str">
        <f t="shared" si="2"/>
        <v>Guadalajara</v>
      </c>
      <c r="E40" s="2" t="s">
        <v>22</v>
      </c>
      <c r="F40" s="2" t="str">
        <f>IFERROR(__xludf.DUMMYFUNCTION("SPLIT(E40, ""-"")"),"Tablet")</f>
        <v>Tablet</v>
      </c>
      <c r="G40" s="2" t="str">
        <f>IFERROR(__xludf.DUMMYFUNCTION("""COMPUTED_VALUE"""),"Estándar")</f>
        <v>Estándar</v>
      </c>
      <c r="H40" s="2" t="str">
        <f>IFERROR(__xludf.DUMMYFUNCTION("""COMPUTED_VALUE"""),"16GB")</f>
        <v>16GB</v>
      </c>
      <c r="I40" s="17">
        <v>2215.63</v>
      </c>
      <c r="J40" s="6">
        <v>3.0</v>
      </c>
      <c r="K40" s="17">
        <v>6646.89</v>
      </c>
      <c r="L40" s="2" t="s">
        <v>155</v>
      </c>
      <c r="M40" s="2" t="s">
        <v>156</v>
      </c>
      <c r="N40" s="2" t="s">
        <v>157</v>
      </c>
    </row>
    <row r="41" ht="15.75" customHeight="1">
      <c r="A41" s="18">
        <v>45577.0</v>
      </c>
      <c r="B41" s="16" t="str">
        <f t="shared" si="1"/>
        <v>October</v>
      </c>
      <c r="C41" s="2" t="s">
        <v>14</v>
      </c>
      <c r="D41" s="2" t="str">
        <f t="shared" si="2"/>
        <v>Bogotá</v>
      </c>
      <c r="E41" s="2" t="s">
        <v>66</v>
      </c>
      <c r="F41" s="2" t="str">
        <f>IFERROR(__xludf.DUMMYFUNCTION("SPLIT(E41, ""-"")"),"Tablet")</f>
        <v>Tablet</v>
      </c>
      <c r="G41" s="2" t="str">
        <f>IFERROR(__xludf.DUMMYFUNCTION("""COMPUTED_VALUE"""),"Estándar")</f>
        <v>Estándar</v>
      </c>
      <c r="H41" s="2" t="str">
        <f>IFERROR(__xludf.DUMMYFUNCTION("""COMPUTED_VALUE"""),"4GB")</f>
        <v>4GB</v>
      </c>
      <c r="I41" s="17">
        <v>2395.85</v>
      </c>
      <c r="J41" s="6">
        <v>4.0</v>
      </c>
      <c r="K41" s="17">
        <v>9583.4</v>
      </c>
      <c r="L41" s="2" t="s">
        <v>158</v>
      </c>
      <c r="M41" s="2" t="s">
        <v>159</v>
      </c>
      <c r="N41" s="2" t="s">
        <v>160</v>
      </c>
    </row>
    <row r="42" ht="15.75" customHeight="1">
      <c r="A42" s="18">
        <v>45577.0</v>
      </c>
      <c r="B42" s="16" t="str">
        <f t="shared" si="1"/>
        <v>October</v>
      </c>
      <c r="C42" s="2" t="s">
        <v>57</v>
      </c>
      <c r="D42" s="2" t="str">
        <f t="shared" si="2"/>
        <v>Guadalajara</v>
      </c>
      <c r="E42" s="2" t="s">
        <v>161</v>
      </c>
      <c r="F42" s="2" t="str">
        <f>IFERROR(__xludf.DUMMYFUNCTION("SPLIT(E42, ""-"")"),"Laptop")</f>
        <v>Laptop</v>
      </c>
      <c r="G42" s="2" t="str">
        <f>IFERROR(__xludf.DUMMYFUNCTION("""COMPUTED_VALUE"""),"Oficina")</f>
        <v>Oficina</v>
      </c>
      <c r="H42" s="2" t="str">
        <f>IFERROR(__xludf.DUMMYFUNCTION("""COMPUTED_VALUE"""),"32GB")</f>
        <v>32GB</v>
      </c>
      <c r="I42" s="17">
        <v>883.61</v>
      </c>
      <c r="J42" s="6">
        <v>2.0</v>
      </c>
      <c r="K42" s="17">
        <v>1767.22</v>
      </c>
      <c r="L42" s="3" t="s">
        <v>162</v>
      </c>
      <c r="M42" s="2" t="s">
        <v>163</v>
      </c>
      <c r="N42" s="2" t="s">
        <v>164</v>
      </c>
    </row>
    <row r="43" ht="15.75" customHeight="1">
      <c r="A43" s="18">
        <v>45577.0</v>
      </c>
      <c r="B43" s="16" t="str">
        <f t="shared" si="1"/>
        <v>October</v>
      </c>
      <c r="C43" s="2" t="s">
        <v>74</v>
      </c>
      <c r="D43" s="2" t="str">
        <f t="shared" si="2"/>
        <v>Cali</v>
      </c>
      <c r="E43" s="2" t="s">
        <v>165</v>
      </c>
      <c r="F43" s="2" t="str">
        <f>IFERROR(__xludf.DUMMYFUNCTION("SPLIT(E43, ""-"")"),"Auriculares")</f>
        <v>Auriculares</v>
      </c>
      <c r="G43" s="2" t="str">
        <f>IFERROR(__xludf.DUMMYFUNCTION("""COMPUTED_VALUE"""),"Bluetooth")</f>
        <v>Bluetooth</v>
      </c>
      <c r="H43" s="2" t="str">
        <f>IFERROR(__xludf.DUMMYFUNCTION("""COMPUTED_VALUE"""),"32GB")</f>
        <v>32GB</v>
      </c>
      <c r="I43" s="17">
        <v>1277.75</v>
      </c>
      <c r="J43" s="6">
        <v>1.0</v>
      </c>
      <c r="K43" s="17">
        <v>1277.75</v>
      </c>
      <c r="L43" s="2" t="s">
        <v>166</v>
      </c>
      <c r="M43" s="2" t="s">
        <v>167</v>
      </c>
      <c r="N43" s="2" t="s">
        <v>168</v>
      </c>
    </row>
    <row r="44" ht="15.75" customHeight="1">
      <c r="A44" s="18">
        <v>45577.0</v>
      </c>
      <c r="B44" s="16" t="str">
        <f t="shared" si="1"/>
        <v>October</v>
      </c>
      <c r="C44" s="2" t="s">
        <v>57</v>
      </c>
      <c r="D44" s="2" t="str">
        <f t="shared" si="2"/>
        <v>Guadalajara</v>
      </c>
      <c r="E44" s="2" t="s">
        <v>169</v>
      </c>
      <c r="F44" s="2" t="str">
        <f>IFERROR(__xludf.DUMMYFUNCTION("SPLIT(E44, ""-"")"),"Teléfono")</f>
        <v>Teléfono</v>
      </c>
      <c r="G44" s="2" t="str">
        <f>IFERROR(__xludf.DUMMYFUNCTION("""COMPUTED_VALUE"""),"Gama baja")</f>
        <v>Gama baja</v>
      </c>
      <c r="H44" s="2" t="str">
        <f>IFERROR(__xludf.DUMMYFUNCTION("""COMPUTED_VALUE"""),"4GB")</f>
        <v>4GB</v>
      </c>
      <c r="I44" s="17">
        <v>2182.77</v>
      </c>
      <c r="J44" s="6">
        <v>3.0</v>
      </c>
      <c r="K44" s="17">
        <v>6548.31</v>
      </c>
      <c r="L44" s="2" t="s">
        <v>170</v>
      </c>
      <c r="M44" s="2" t="s">
        <v>171</v>
      </c>
      <c r="N44" s="2" t="s">
        <v>172</v>
      </c>
    </row>
    <row r="45" ht="15.75" customHeight="1">
      <c r="A45" s="18">
        <v>45577.0</v>
      </c>
      <c r="B45" s="16" t="str">
        <f t="shared" si="1"/>
        <v>October</v>
      </c>
      <c r="C45" s="2" t="s">
        <v>14</v>
      </c>
      <c r="D45" s="2" t="str">
        <f t="shared" si="2"/>
        <v>Bogotá</v>
      </c>
      <c r="E45" s="2" t="s">
        <v>58</v>
      </c>
      <c r="F45" s="2" t="str">
        <f>IFERROR(__xludf.DUMMYFUNCTION("SPLIT(E45, ""-"")"),"Auriculares")</f>
        <v>Auriculares</v>
      </c>
      <c r="G45" s="2" t="str">
        <f>IFERROR(__xludf.DUMMYFUNCTION("""COMPUTED_VALUE"""),"Bluetooth")</f>
        <v>Bluetooth</v>
      </c>
      <c r="H45" s="2" t="str">
        <f>IFERROR(__xludf.DUMMYFUNCTION("""COMPUTED_VALUE"""),"4GB")</f>
        <v>4GB</v>
      </c>
      <c r="I45" s="17">
        <v>1163.04</v>
      </c>
      <c r="J45" s="6">
        <v>1.0</v>
      </c>
      <c r="K45" s="17">
        <v>1163.04</v>
      </c>
      <c r="L45" s="2" t="s">
        <v>173</v>
      </c>
      <c r="M45" s="2" t="s">
        <v>174</v>
      </c>
      <c r="N45" s="2" t="s">
        <v>175</v>
      </c>
    </row>
    <row r="46" ht="15.75" customHeight="1">
      <c r="A46" s="18">
        <v>45578.0</v>
      </c>
      <c r="B46" s="16" t="str">
        <f t="shared" si="1"/>
        <v>October</v>
      </c>
      <c r="C46" s="2" t="s">
        <v>9</v>
      </c>
      <c r="D46" s="2" t="str">
        <f t="shared" si="2"/>
        <v>Monterrey</v>
      </c>
      <c r="E46" s="2" t="s">
        <v>92</v>
      </c>
      <c r="F46" s="2" t="str">
        <f>IFERROR(__xludf.DUMMYFUNCTION("SPLIT(E46, ""-"")"),"Tablet")</f>
        <v>Tablet</v>
      </c>
      <c r="G46" s="2" t="str">
        <f>IFERROR(__xludf.DUMMYFUNCTION("""COMPUTED_VALUE"""),"Mini")</f>
        <v>Mini</v>
      </c>
      <c r="H46" s="2" t="str">
        <f>IFERROR(__xludf.DUMMYFUNCTION("""COMPUTED_VALUE"""),"8GB")</f>
        <v>8GB</v>
      </c>
      <c r="I46" s="17">
        <v>1664.18</v>
      </c>
      <c r="J46" s="6">
        <v>3.0</v>
      </c>
      <c r="K46" s="17">
        <v>4992.54</v>
      </c>
      <c r="L46" s="2" t="s">
        <v>176</v>
      </c>
      <c r="M46" s="2" t="s">
        <v>177</v>
      </c>
      <c r="N46" s="2" t="s">
        <v>178</v>
      </c>
    </row>
    <row r="47" ht="15.75" customHeight="1">
      <c r="A47" s="18">
        <v>45578.0</v>
      </c>
      <c r="B47" s="16" t="str">
        <f t="shared" si="1"/>
        <v>October</v>
      </c>
      <c r="C47" s="2" t="s">
        <v>74</v>
      </c>
      <c r="D47" s="2" t="str">
        <f t="shared" si="2"/>
        <v>Cali</v>
      </c>
      <c r="E47" s="2" t="s">
        <v>179</v>
      </c>
      <c r="F47" s="2" t="str">
        <f>IFERROR(__xludf.DUMMYFUNCTION("SPLIT(E47, ""-"")"),"Tablet")</f>
        <v>Tablet</v>
      </c>
      <c r="G47" s="2" t="str">
        <f>IFERROR(__xludf.DUMMYFUNCTION("""COMPUTED_VALUE"""),"Mini")</f>
        <v>Mini</v>
      </c>
      <c r="H47" s="2" t="str">
        <f>IFERROR(__xludf.DUMMYFUNCTION("""COMPUTED_VALUE"""),"4GB")</f>
        <v>4GB</v>
      </c>
      <c r="I47" s="17">
        <v>992.68</v>
      </c>
      <c r="J47" s="6">
        <v>5.0</v>
      </c>
      <c r="K47" s="17">
        <v>4963.4</v>
      </c>
      <c r="L47" s="2" t="s">
        <v>180</v>
      </c>
      <c r="M47" s="2" t="s">
        <v>181</v>
      </c>
      <c r="N47" s="2" t="s">
        <v>182</v>
      </c>
    </row>
    <row r="48" ht="15.75" customHeight="1">
      <c r="A48" s="18">
        <v>45578.0</v>
      </c>
      <c r="B48" s="16" t="str">
        <f t="shared" si="1"/>
        <v>October</v>
      </c>
      <c r="C48" s="2" t="s">
        <v>57</v>
      </c>
      <c r="D48" s="2" t="str">
        <f t="shared" si="2"/>
        <v>Guadalajara</v>
      </c>
      <c r="E48" s="2" t="s">
        <v>183</v>
      </c>
      <c r="F48" s="2" t="str">
        <f>IFERROR(__xludf.DUMMYFUNCTION("SPLIT(E48, ""-"")"),"Auriculares")</f>
        <v>Auriculares</v>
      </c>
      <c r="G48" s="2" t="str">
        <f>IFERROR(__xludf.DUMMYFUNCTION("""COMPUTED_VALUE"""),"Cancelaci√≥n de ruido")</f>
        <v>Cancelaci√≥n de ruido</v>
      </c>
      <c r="H48" s="2" t="str">
        <f>IFERROR(__xludf.DUMMYFUNCTION("""COMPUTED_VALUE"""),"16GB")</f>
        <v>16GB</v>
      </c>
      <c r="I48" s="17">
        <v>284.79</v>
      </c>
      <c r="J48" s="6">
        <v>5.0</v>
      </c>
      <c r="K48" s="17">
        <v>1423.95</v>
      </c>
      <c r="L48" s="2" t="s">
        <v>184</v>
      </c>
      <c r="M48" s="2" t="s">
        <v>185</v>
      </c>
      <c r="N48" s="2" t="s">
        <v>186</v>
      </c>
    </row>
    <row r="49" ht="15.75" customHeight="1">
      <c r="A49" s="18">
        <v>45578.0</v>
      </c>
      <c r="B49" s="16" t="str">
        <f t="shared" si="1"/>
        <v>October</v>
      </c>
      <c r="C49" s="2" t="s">
        <v>9</v>
      </c>
      <c r="D49" s="2" t="str">
        <f t="shared" si="2"/>
        <v>Monterrey</v>
      </c>
      <c r="E49" s="2" t="s">
        <v>187</v>
      </c>
      <c r="F49" s="2" t="str">
        <f>IFERROR(__xludf.DUMMYFUNCTION("SPLIT(E49, ""-"")"),"Laptop")</f>
        <v>Laptop</v>
      </c>
      <c r="G49" s="2" t="str">
        <f>IFERROR(__xludf.DUMMYFUNCTION("""COMPUTED_VALUE"""),"Ultraliviana")</f>
        <v>Ultraliviana</v>
      </c>
      <c r="H49" s="2" t="str">
        <f>IFERROR(__xludf.DUMMYFUNCTION("""COMPUTED_VALUE"""),"16GB")</f>
        <v>16GB</v>
      </c>
      <c r="I49" s="20">
        <f>K49/J49</f>
        <v>362.17</v>
      </c>
      <c r="J49" s="6">
        <v>3.0</v>
      </c>
      <c r="K49" s="17">
        <v>1086.51</v>
      </c>
      <c r="L49" s="2" t="s">
        <v>188</v>
      </c>
      <c r="M49" s="2" t="s">
        <v>189</v>
      </c>
      <c r="N49" s="2" t="s">
        <v>190</v>
      </c>
    </row>
    <row r="50" ht="15.75" customHeight="1">
      <c r="A50" s="18">
        <v>45578.0</v>
      </c>
      <c r="B50" s="16" t="str">
        <f t="shared" si="1"/>
        <v>October</v>
      </c>
      <c r="C50" s="2" t="s">
        <v>57</v>
      </c>
      <c r="D50" s="2" t="str">
        <f t="shared" si="2"/>
        <v>Guadalajara</v>
      </c>
      <c r="E50" s="2" t="s">
        <v>53</v>
      </c>
      <c r="F50" s="2" t="str">
        <f>IFERROR(__xludf.DUMMYFUNCTION("SPLIT(E50, ""-"")"),"Laptop")</f>
        <v>Laptop</v>
      </c>
      <c r="G50" s="2" t="str">
        <f>IFERROR(__xludf.DUMMYFUNCTION("""COMPUTED_VALUE"""),"Oficina")</f>
        <v>Oficina</v>
      </c>
      <c r="H50" s="2" t="str">
        <f>IFERROR(__xludf.DUMMYFUNCTION("""COMPUTED_VALUE"""),"8GB")</f>
        <v>8GB</v>
      </c>
      <c r="I50" s="17">
        <v>1274.8</v>
      </c>
      <c r="J50" s="6">
        <v>5.0</v>
      </c>
      <c r="K50" s="17">
        <v>6374.0</v>
      </c>
      <c r="L50" s="2" t="s">
        <v>191</v>
      </c>
      <c r="M50" s="2" t="s">
        <v>192</v>
      </c>
      <c r="N50" s="2" t="s">
        <v>193</v>
      </c>
    </row>
    <row r="51" ht="15.75" customHeight="1">
      <c r="A51" s="18">
        <v>45578.0</v>
      </c>
      <c r="B51" s="16" t="str">
        <f t="shared" si="1"/>
        <v>October</v>
      </c>
      <c r="C51" s="2" t="s">
        <v>57</v>
      </c>
      <c r="D51" s="2" t="str">
        <f t="shared" si="2"/>
        <v>Guadalajara</v>
      </c>
      <c r="E51" s="2" t="s">
        <v>35</v>
      </c>
      <c r="F51" s="2" t="str">
        <f>IFERROR(__xludf.DUMMYFUNCTION("SPLIT(E51, ""-"")"),"Tablet")</f>
        <v>Tablet</v>
      </c>
      <c r="G51" s="2" t="str">
        <f>IFERROR(__xludf.DUMMYFUNCTION("""COMPUTED_VALUE"""),"Pro")</f>
        <v>Pro</v>
      </c>
      <c r="H51" s="2" t="str">
        <f>IFERROR(__xludf.DUMMYFUNCTION("""COMPUTED_VALUE"""),"4GB")</f>
        <v>4GB</v>
      </c>
      <c r="I51" s="17">
        <v>233.85</v>
      </c>
      <c r="J51" s="6">
        <v>4.0</v>
      </c>
      <c r="K51" s="17">
        <v>935.4</v>
      </c>
      <c r="L51" s="2" t="s">
        <v>194</v>
      </c>
      <c r="M51" s="2" t="s">
        <v>195</v>
      </c>
      <c r="N51" s="2" t="s">
        <v>196</v>
      </c>
    </row>
    <row r="52" ht="15.75" customHeight="1">
      <c r="A52" s="18">
        <v>45578.0</v>
      </c>
      <c r="B52" s="16" t="str">
        <f t="shared" si="1"/>
        <v>October</v>
      </c>
      <c r="C52" s="3" t="s">
        <v>29</v>
      </c>
      <c r="D52" s="2" t="str">
        <f t="shared" si="2"/>
        <v>Ciudad De Mexico</v>
      </c>
      <c r="E52" s="2" t="s">
        <v>15</v>
      </c>
      <c r="F52" s="2" t="str">
        <f>IFERROR(__xludf.DUMMYFUNCTION("SPLIT(E52, ""-"")"),"Auriculares")</f>
        <v>Auriculares</v>
      </c>
      <c r="G52" s="2" t="str">
        <f>IFERROR(__xludf.DUMMYFUNCTION("""COMPUTED_VALUE"""),"Con cable")</f>
        <v>Con cable</v>
      </c>
      <c r="H52" s="2" t="str">
        <f>IFERROR(__xludf.DUMMYFUNCTION("""COMPUTED_VALUE"""),"32GB")</f>
        <v>32GB</v>
      </c>
      <c r="I52" s="17">
        <v>142.14</v>
      </c>
      <c r="J52" s="6">
        <v>3.0</v>
      </c>
      <c r="K52" s="17">
        <v>426.42</v>
      </c>
      <c r="L52" s="2" t="s">
        <v>197</v>
      </c>
      <c r="M52" s="2" t="s">
        <v>198</v>
      </c>
      <c r="N52" s="2" t="s">
        <v>199</v>
      </c>
    </row>
    <row r="53" ht="15.75" customHeight="1">
      <c r="A53" s="18">
        <v>45578.0</v>
      </c>
      <c r="B53" s="16" t="str">
        <f t="shared" si="1"/>
        <v>October</v>
      </c>
      <c r="C53" s="2" t="s">
        <v>34</v>
      </c>
      <c r="D53" s="2" t="str">
        <f t="shared" si="2"/>
        <v>Medellín</v>
      </c>
      <c r="E53" s="2" t="s">
        <v>119</v>
      </c>
      <c r="F53" s="2" t="str">
        <f>IFERROR(__xludf.DUMMYFUNCTION("SPLIT(E53, ""-"")"),"Teléfono")</f>
        <v>Teléfono</v>
      </c>
      <c r="G53" s="2" t="str">
        <f>IFERROR(__xludf.DUMMYFUNCTION("""COMPUTED_VALUE"""),"Gama alta")</f>
        <v>Gama alta</v>
      </c>
      <c r="H53" s="2" t="str">
        <f>IFERROR(__xludf.DUMMYFUNCTION("""COMPUTED_VALUE"""),"8GB")</f>
        <v>8GB</v>
      </c>
      <c r="I53" s="17">
        <v>226.52</v>
      </c>
      <c r="J53" s="6">
        <v>2.0</v>
      </c>
      <c r="K53" s="17">
        <v>453.04</v>
      </c>
      <c r="L53" s="2" t="s">
        <v>200</v>
      </c>
      <c r="M53" s="2" t="s">
        <v>201</v>
      </c>
      <c r="N53" s="2" t="s">
        <v>202</v>
      </c>
    </row>
    <row r="54" ht="15.75" customHeight="1">
      <c r="A54" s="18">
        <v>45578.0</v>
      </c>
      <c r="B54" s="16" t="str">
        <f t="shared" si="1"/>
        <v>October</v>
      </c>
      <c r="C54" s="3" t="s">
        <v>29</v>
      </c>
      <c r="D54" s="2" t="str">
        <f t="shared" si="2"/>
        <v>Ciudad De Mexico</v>
      </c>
      <c r="E54" s="2" t="s">
        <v>75</v>
      </c>
      <c r="F54" s="2" t="str">
        <f>IFERROR(__xludf.DUMMYFUNCTION("SPLIT(E54, ""-"")"),"Tablet")</f>
        <v>Tablet</v>
      </c>
      <c r="G54" s="2" t="str">
        <f>IFERROR(__xludf.DUMMYFUNCTION("""COMPUTED_VALUE"""),"Mini")</f>
        <v>Mini</v>
      </c>
      <c r="H54" s="2" t="str">
        <f>IFERROR(__xludf.DUMMYFUNCTION("""COMPUTED_VALUE"""),"32GB")</f>
        <v>32GB</v>
      </c>
      <c r="I54" s="17">
        <v>1922.79</v>
      </c>
      <c r="J54" s="6">
        <v>3.0</v>
      </c>
      <c r="K54" s="17">
        <v>5768.37</v>
      </c>
      <c r="L54" s="2" t="s">
        <v>203</v>
      </c>
      <c r="M54" s="2" t="s">
        <v>204</v>
      </c>
      <c r="N54" s="2" t="s">
        <v>205</v>
      </c>
    </row>
    <row r="55" ht="15.75" customHeight="1">
      <c r="A55" s="18">
        <v>45578.0</v>
      </c>
      <c r="B55" s="16" t="str">
        <f t="shared" si="1"/>
        <v>October</v>
      </c>
      <c r="C55" s="2" t="s">
        <v>14</v>
      </c>
      <c r="D55" s="2" t="str">
        <f t="shared" si="2"/>
        <v>Bogotá</v>
      </c>
      <c r="E55" s="2" t="s">
        <v>130</v>
      </c>
      <c r="F55" s="2" t="str">
        <f>IFERROR(__xludf.DUMMYFUNCTION("SPLIT(E55, ""-"")"),"Tablet")</f>
        <v>Tablet</v>
      </c>
      <c r="G55" s="2" t="str">
        <f>IFERROR(__xludf.DUMMYFUNCTION("""COMPUTED_VALUE"""),"Pro")</f>
        <v>Pro</v>
      </c>
      <c r="H55" s="2" t="str">
        <f>IFERROR(__xludf.DUMMYFUNCTION("""COMPUTED_VALUE"""),"8GB")</f>
        <v>8GB</v>
      </c>
      <c r="I55" s="20">
        <f>K55/J55</f>
        <v>2214.98</v>
      </c>
      <c r="J55" s="6">
        <v>2.0</v>
      </c>
      <c r="K55" s="17">
        <v>4429.96</v>
      </c>
      <c r="L55" s="2" t="s">
        <v>206</v>
      </c>
      <c r="M55" s="2" t="s">
        <v>207</v>
      </c>
      <c r="N55" s="2" t="s">
        <v>208</v>
      </c>
    </row>
    <row r="56" ht="15.75" customHeight="1">
      <c r="A56" s="18">
        <v>45579.0</v>
      </c>
      <c r="B56" s="16" t="str">
        <f t="shared" si="1"/>
        <v>October</v>
      </c>
      <c r="C56" s="2" t="s">
        <v>14</v>
      </c>
      <c r="D56" s="2" t="str">
        <f t="shared" si="2"/>
        <v>Bogotá</v>
      </c>
      <c r="E56" s="2" t="s">
        <v>187</v>
      </c>
      <c r="F56" s="2" t="str">
        <f>IFERROR(__xludf.DUMMYFUNCTION("SPLIT(E56, ""-"")"),"Laptop")</f>
        <v>Laptop</v>
      </c>
      <c r="G56" s="2" t="str">
        <f>IFERROR(__xludf.DUMMYFUNCTION("""COMPUTED_VALUE"""),"Ultraliviana")</f>
        <v>Ultraliviana</v>
      </c>
      <c r="H56" s="2" t="str">
        <f>IFERROR(__xludf.DUMMYFUNCTION("""COMPUTED_VALUE"""),"16GB")</f>
        <v>16GB</v>
      </c>
      <c r="I56" s="17">
        <v>120.94</v>
      </c>
      <c r="J56" s="6">
        <v>3.0</v>
      </c>
      <c r="K56" s="20">
        <f>I56*J56</f>
        <v>362.82</v>
      </c>
      <c r="L56" s="2" t="s">
        <v>209</v>
      </c>
      <c r="M56" s="2" t="s">
        <v>210</v>
      </c>
      <c r="N56" s="2" t="s">
        <v>211</v>
      </c>
    </row>
    <row r="57" ht="15.75" customHeight="1">
      <c r="A57" s="18">
        <v>45579.0</v>
      </c>
      <c r="B57" s="16" t="str">
        <f t="shared" si="1"/>
        <v>October</v>
      </c>
      <c r="C57" s="2" t="s">
        <v>34</v>
      </c>
      <c r="D57" s="2" t="str">
        <f t="shared" si="2"/>
        <v>Medellín</v>
      </c>
      <c r="E57" s="2" t="s">
        <v>92</v>
      </c>
      <c r="F57" s="2" t="str">
        <f>IFERROR(__xludf.DUMMYFUNCTION("SPLIT(E57, ""-"")"),"Tablet")</f>
        <v>Tablet</v>
      </c>
      <c r="G57" s="2" t="str">
        <f>IFERROR(__xludf.DUMMYFUNCTION("""COMPUTED_VALUE"""),"Mini")</f>
        <v>Mini</v>
      </c>
      <c r="H57" s="2" t="str">
        <f>IFERROR(__xludf.DUMMYFUNCTION("""COMPUTED_VALUE"""),"8GB")</f>
        <v>8GB</v>
      </c>
      <c r="I57" s="17">
        <v>1950.45</v>
      </c>
      <c r="J57" s="6">
        <v>4.0</v>
      </c>
      <c r="K57" s="17">
        <v>7801.8</v>
      </c>
      <c r="L57" s="2" t="s">
        <v>212</v>
      </c>
      <c r="M57" s="2" t="s">
        <v>213</v>
      </c>
      <c r="N57" s="2" t="s">
        <v>214</v>
      </c>
    </row>
    <row r="58" ht="15.75" customHeight="1">
      <c r="A58" s="18">
        <v>45579.0</v>
      </c>
      <c r="B58" s="16" t="str">
        <f t="shared" si="1"/>
        <v>October</v>
      </c>
      <c r="C58" s="2" t="s">
        <v>14</v>
      </c>
      <c r="D58" s="2" t="str">
        <f t="shared" si="2"/>
        <v>Bogotá</v>
      </c>
      <c r="E58" s="2" t="s">
        <v>215</v>
      </c>
      <c r="F58" s="2" t="str">
        <f>IFERROR(__xludf.DUMMYFUNCTION("SPLIT(E58, ""-"")"),"Teléfono")</f>
        <v>Teléfono</v>
      </c>
      <c r="G58" s="2" t="str">
        <f>IFERROR(__xludf.DUMMYFUNCTION("""COMPUTED_VALUE"""),"Gama media")</f>
        <v>Gama media</v>
      </c>
      <c r="H58" s="2" t="str">
        <f>IFERROR(__xludf.DUMMYFUNCTION("""COMPUTED_VALUE"""),"4GB")</f>
        <v>4GB</v>
      </c>
      <c r="I58" s="17">
        <v>2092.55</v>
      </c>
      <c r="J58" s="6">
        <v>5.0</v>
      </c>
      <c r="K58" s="17">
        <v>10462.75</v>
      </c>
      <c r="L58" s="2" t="s">
        <v>216</v>
      </c>
      <c r="M58" s="2" t="s">
        <v>217</v>
      </c>
      <c r="N58" s="2" t="s">
        <v>218</v>
      </c>
    </row>
    <row r="59" ht="15.75" customHeight="1">
      <c r="A59" s="18">
        <v>45579.0</v>
      </c>
      <c r="B59" s="16" t="str">
        <f t="shared" si="1"/>
        <v>October</v>
      </c>
      <c r="C59" s="2" t="s">
        <v>34</v>
      </c>
      <c r="D59" s="2" t="str">
        <f t="shared" si="2"/>
        <v>Medellín</v>
      </c>
      <c r="E59" s="2" t="s">
        <v>10</v>
      </c>
      <c r="F59" s="2" t="str">
        <f>IFERROR(__xludf.DUMMYFUNCTION("SPLIT(E59, ""-"")"),"Tablet")</f>
        <v>Tablet</v>
      </c>
      <c r="G59" s="2" t="str">
        <f>IFERROR(__xludf.DUMMYFUNCTION("""COMPUTED_VALUE"""),"Estándar")</f>
        <v>Estándar</v>
      </c>
      <c r="H59" s="2" t="str">
        <f>IFERROR(__xludf.DUMMYFUNCTION("""COMPUTED_VALUE"""),"8GB")</f>
        <v>8GB</v>
      </c>
      <c r="I59" s="17">
        <v>214.72</v>
      </c>
      <c r="J59" s="6">
        <v>3.0</v>
      </c>
      <c r="K59" s="17">
        <v>644.16</v>
      </c>
      <c r="L59" s="2" t="s">
        <v>219</v>
      </c>
      <c r="M59" s="2" t="s">
        <v>220</v>
      </c>
      <c r="N59" s="2" t="s">
        <v>221</v>
      </c>
    </row>
    <row r="60" ht="15.75" customHeight="1">
      <c r="A60" s="18">
        <v>45579.0</v>
      </c>
      <c r="B60" s="16" t="str">
        <f t="shared" si="1"/>
        <v>October</v>
      </c>
      <c r="C60" s="2" t="s">
        <v>57</v>
      </c>
      <c r="D60" s="2" t="str">
        <f t="shared" si="2"/>
        <v>Guadalajara</v>
      </c>
      <c r="E60" s="2" t="s">
        <v>222</v>
      </c>
      <c r="F60" s="2" t="str">
        <f>IFERROR(__xludf.DUMMYFUNCTION("SPLIT(E60, ""-"")"),"Laptop")</f>
        <v>Laptop</v>
      </c>
      <c r="G60" s="2" t="str">
        <f>IFERROR(__xludf.DUMMYFUNCTION("""COMPUTED_VALUE"""),"Gaming")</f>
        <v>Gaming</v>
      </c>
      <c r="H60" s="2" t="str">
        <f>IFERROR(__xludf.DUMMYFUNCTION("""COMPUTED_VALUE"""),"16GB")</f>
        <v>16GB</v>
      </c>
      <c r="I60" s="17">
        <v>1291.39</v>
      </c>
      <c r="J60" s="6">
        <v>3.0</v>
      </c>
      <c r="K60" s="17">
        <v>3874.17</v>
      </c>
      <c r="L60" s="2" t="s">
        <v>223</v>
      </c>
      <c r="M60" s="2" t="s">
        <v>224</v>
      </c>
      <c r="N60" s="2" t="s">
        <v>225</v>
      </c>
    </row>
    <row r="61" ht="15.75" customHeight="1">
      <c r="A61" s="18">
        <v>45579.0</v>
      </c>
      <c r="B61" s="16" t="str">
        <f t="shared" si="1"/>
        <v>October</v>
      </c>
      <c r="C61" s="3" t="s">
        <v>29</v>
      </c>
      <c r="D61" s="2" t="str">
        <f t="shared" si="2"/>
        <v>Ciudad De Mexico</v>
      </c>
      <c r="E61" s="2" t="s">
        <v>226</v>
      </c>
      <c r="F61" s="2" t="str">
        <f>IFERROR(__xludf.DUMMYFUNCTION("SPLIT(E61, ""-"")"),"Laptop")</f>
        <v>Laptop</v>
      </c>
      <c r="G61" s="2" t="str">
        <f>IFERROR(__xludf.DUMMYFUNCTION("""COMPUTED_VALUE"""),"Oficina")</f>
        <v>Oficina</v>
      </c>
      <c r="H61" s="2" t="str">
        <f>IFERROR(__xludf.DUMMYFUNCTION("""COMPUTED_VALUE"""),"4GB")</f>
        <v>4GB</v>
      </c>
      <c r="I61" s="17">
        <v>970.38</v>
      </c>
      <c r="J61" s="6">
        <v>5.0</v>
      </c>
      <c r="K61" s="17">
        <v>4851.9</v>
      </c>
      <c r="L61" s="2" t="s">
        <v>227</v>
      </c>
      <c r="M61" s="2" t="s">
        <v>228</v>
      </c>
      <c r="N61" s="2" t="s">
        <v>229</v>
      </c>
    </row>
    <row r="62" ht="15.75" customHeight="1">
      <c r="A62" s="18">
        <v>45579.0</v>
      </c>
      <c r="B62" s="16" t="str">
        <f t="shared" si="1"/>
        <v>October</v>
      </c>
      <c r="C62" s="2" t="s">
        <v>74</v>
      </c>
      <c r="D62" s="2" t="str">
        <f t="shared" si="2"/>
        <v>Cali</v>
      </c>
      <c r="E62" s="2" t="s">
        <v>230</v>
      </c>
      <c r="F62" s="2" t="str">
        <f>IFERROR(__xludf.DUMMYFUNCTION("SPLIT(E62, ""-"")"),"Tablet")</f>
        <v>Tablet</v>
      </c>
      <c r="G62" s="2" t="str">
        <f>IFERROR(__xludf.DUMMYFUNCTION("""COMPUTED_VALUE"""),"Mini")</f>
        <v>Mini</v>
      </c>
      <c r="H62" s="2" t="str">
        <f>IFERROR(__xludf.DUMMYFUNCTION("""COMPUTED_VALUE"""),"16GB")</f>
        <v>16GB</v>
      </c>
      <c r="I62" s="17">
        <v>2101.48</v>
      </c>
      <c r="J62" s="6">
        <v>2.0</v>
      </c>
      <c r="K62" s="17">
        <v>4202.96</v>
      </c>
      <c r="L62" s="2" t="s">
        <v>231</v>
      </c>
      <c r="M62" s="2" t="s">
        <v>232</v>
      </c>
      <c r="N62" s="2" t="s">
        <v>233</v>
      </c>
    </row>
    <row r="63" ht="15.75" customHeight="1">
      <c r="A63" s="18">
        <v>45579.0</v>
      </c>
      <c r="B63" s="16" t="str">
        <f t="shared" si="1"/>
        <v>October</v>
      </c>
      <c r="C63" s="2" t="s">
        <v>14</v>
      </c>
      <c r="D63" s="2" t="str">
        <f t="shared" si="2"/>
        <v>Bogotá</v>
      </c>
      <c r="E63" s="2" t="s">
        <v>62</v>
      </c>
      <c r="F63" s="2" t="str">
        <f>IFERROR(__xludf.DUMMYFUNCTION("SPLIT(E63, ""-"")"),"Laptop")</f>
        <v>Laptop</v>
      </c>
      <c r="G63" s="2" t="str">
        <f>IFERROR(__xludf.DUMMYFUNCTION("""COMPUTED_VALUE"""),"Ultraliviana")</f>
        <v>Ultraliviana</v>
      </c>
      <c r="H63" s="2" t="str">
        <f>IFERROR(__xludf.DUMMYFUNCTION("""COMPUTED_VALUE"""),"4GB")</f>
        <v>4GB</v>
      </c>
      <c r="I63" s="17">
        <v>302.84</v>
      </c>
      <c r="J63" s="6">
        <v>3.0</v>
      </c>
      <c r="K63" s="17">
        <v>908.52</v>
      </c>
      <c r="L63" s="2" t="s">
        <v>234</v>
      </c>
      <c r="M63" s="2" t="s">
        <v>235</v>
      </c>
      <c r="N63" s="2" t="s">
        <v>236</v>
      </c>
    </row>
    <row r="64" ht="15.75" customHeight="1">
      <c r="A64" s="18">
        <v>45579.0</v>
      </c>
      <c r="B64" s="16" t="str">
        <f t="shared" si="1"/>
        <v>October</v>
      </c>
      <c r="C64" s="2" t="s">
        <v>9</v>
      </c>
      <c r="D64" s="2" t="str">
        <f t="shared" si="2"/>
        <v>Monterrey</v>
      </c>
      <c r="E64" s="2" t="s">
        <v>15</v>
      </c>
      <c r="F64" s="2" t="str">
        <f>IFERROR(__xludf.DUMMYFUNCTION("SPLIT(E64, ""-"")"),"Auriculares")</f>
        <v>Auriculares</v>
      </c>
      <c r="G64" s="2" t="str">
        <f>IFERROR(__xludf.DUMMYFUNCTION("""COMPUTED_VALUE"""),"Con cable")</f>
        <v>Con cable</v>
      </c>
      <c r="H64" s="2" t="str">
        <f>IFERROR(__xludf.DUMMYFUNCTION("""COMPUTED_VALUE"""),"32GB")</f>
        <v>32GB</v>
      </c>
      <c r="I64" s="17">
        <v>1421.57</v>
      </c>
      <c r="J64" s="6">
        <v>4.0</v>
      </c>
      <c r="K64" s="17">
        <v>5686.28</v>
      </c>
      <c r="L64" s="2" t="s">
        <v>237</v>
      </c>
      <c r="M64" s="2" t="s">
        <v>238</v>
      </c>
      <c r="N64" s="2" t="s">
        <v>239</v>
      </c>
    </row>
    <row r="65" ht="15.75" customHeight="1">
      <c r="A65" s="18">
        <v>45579.0</v>
      </c>
      <c r="B65" s="16" t="str">
        <f t="shared" si="1"/>
        <v>October</v>
      </c>
      <c r="C65" s="2" t="s">
        <v>9</v>
      </c>
      <c r="D65" s="2" t="str">
        <f t="shared" si="2"/>
        <v>Monterrey</v>
      </c>
      <c r="E65" s="2" t="s">
        <v>92</v>
      </c>
      <c r="F65" s="2" t="str">
        <f>IFERROR(__xludf.DUMMYFUNCTION("SPLIT(E65, ""-"")"),"Tablet")</f>
        <v>Tablet</v>
      </c>
      <c r="G65" s="2" t="str">
        <f>IFERROR(__xludf.DUMMYFUNCTION("""COMPUTED_VALUE"""),"Mini")</f>
        <v>Mini</v>
      </c>
      <c r="H65" s="2" t="str">
        <f>IFERROR(__xludf.DUMMYFUNCTION("""COMPUTED_VALUE"""),"8GB")</f>
        <v>8GB</v>
      </c>
      <c r="I65" s="17">
        <v>1037.64</v>
      </c>
      <c r="J65" s="6">
        <v>3.0</v>
      </c>
      <c r="K65" s="17">
        <v>3112.92</v>
      </c>
      <c r="L65" s="2" t="s">
        <v>240</v>
      </c>
      <c r="M65" s="2" t="s">
        <v>241</v>
      </c>
      <c r="N65" s="8" t="s">
        <v>242</v>
      </c>
    </row>
    <row r="66" ht="15.75" customHeight="1">
      <c r="A66" s="18">
        <v>45579.0</v>
      </c>
      <c r="B66" s="16" t="str">
        <f t="shared" si="1"/>
        <v>October</v>
      </c>
      <c r="C66" s="2" t="s">
        <v>9</v>
      </c>
      <c r="D66" s="2" t="str">
        <f t="shared" si="2"/>
        <v>Monterrey</v>
      </c>
      <c r="E66" s="2" t="s">
        <v>137</v>
      </c>
      <c r="F66" s="2" t="str">
        <f>IFERROR(__xludf.DUMMYFUNCTION("SPLIT(E66, ""-"")"),"Auriculares")</f>
        <v>Auriculares</v>
      </c>
      <c r="G66" s="2" t="str">
        <f>IFERROR(__xludf.DUMMYFUNCTION("""COMPUTED_VALUE"""),"Con cable")</f>
        <v>Con cable</v>
      </c>
      <c r="H66" s="2" t="str">
        <f>IFERROR(__xludf.DUMMYFUNCTION("""COMPUTED_VALUE"""),"16GB")</f>
        <v>16GB</v>
      </c>
      <c r="I66" s="17">
        <v>579.54</v>
      </c>
      <c r="J66" s="6">
        <v>3.0</v>
      </c>
      <c r="K66" s="17">
        <v>1738.62</v>
      </c>
      <c r="L66" s="2" t="s">
        <v>243</v>
      </c>
      <c r="M66" s="2" t="s">
        <v>244</v>
      </c>
      <c r="N66" s="2" t="s">
        <v>245</v>
      </c>
    </row>
    <row r="67" ht="15.75" customHeight="1">
      <c r="A67" s="18">
        <v>45579.0</v>
      </c>
      <c r="B67" s="16" t="str">
        <f t="shared" si="1"/>
        <v>October</v>
      </c>
      <c r="C67" s="2" t="s">
        <v>34</v>
      </c>
      <c r="D67" s="2" t="str">
        <f t="shared" si="2"/>
        <v>Medellín</v>
      </c>
      <c r="E67" s="2" t="s">
        <v>179</v>
      </c>
      <c r="F67" s="2" t="str">
        <f>IFERROR(__xludf.DUMMYFUNCTION("SPLIT(E67, ""-"")"),"Tablet")</f>
        <v>Tablet</v>
      </c>
      <c r="G67" s="2" t="str">
        <f>IFERROR(__xludf.DUMMYFUNCTION("""COMPUTED_VALUE"""),"Mini")</f>
        <v>Mini</v>
      </c>
      <c r="H67" s="2" t="str">
        <f>IFERROR(__xludf.DUMMYFUNCTION("""COMPUTED_VALUE"""),"4GB")</f>
        <v>4GB</v>
      </c>
      <c r="I67" s="17">
        <v>796.49</v>
      </c>
      <c r="J67" s="6">
        <v>3.0</v>
      </c>
      <c r="K67" s="17">
        <v>2389.47</v>
      </c>
      <c r="L67" s="2" t="s">
        <v>246</v>
      </c>
      <c r="M67" s="2" t="s">
        <v>247</v>
      </c>
      <c r="N67" s="2" t="s">
        <v>248</v>
      </c>
    </row>
    <row r="68" ht="15.75" customHeight="1">
      <c r="A68" s="18">
        <v>45579.0</v>
      </c>
      <c r="B68" s="16" t="str">
        <f t="shared" si="1"/>
        <v>October</v>
      </c>
      <c r="C68" s="2" t="s">
        <v>14</v>
      </c>
      <c r="D68" s="2" t="str">
        <f t="shared" si="2"/>
        <v>Bogotá</v>
      </c>
      <c r="E68" s="21" t="s">
        <v>2340</v>
      </c>
      <c r="F68" s="2" t="str">
        <f>IFERROR(__xludf.DUMMYFUNCTION("SPLIT(E68, ""-"")"),"Teléfono")</f>
        <v>Teléfono</v>
      </c>
      <c r="G68" s="2" t="str">
        <f>IFERROR(__xludf.DUMMYFUNCTION("""COMPUTED_VALUE"""),"Gama media")</f>
        <v>Gama media</v>
      </c>
      <c r="H68" s="2" t="str">
        <f>IFERROR(__xludf.DUMMYFUNCTION("""COMPUTED_VALUE"""),"8GB")</f>
        <v>8GB</v>
      </c>
      <c r="I68" s="17">
        <v>1838.04</v>
      </c>
      <c r="J68" s="6">
        <v>4.0</v>
      </c>
      <c r="K68" s="17">
        <v>7352.16</v>
      </c>
      <c r="L68" s="2" t="s">
        <v>249</v>
      </c>
      <c r="M68" s="2" t="s">
        <v>250</v>
      </c>
      <c r="N68" s="2" t="s">
        <v>251</v>
      </c>
    </row>
    <row r="69" ht="15.75" customHeight="1">
      <c r="A69" s="18">
        <v>45580.0</v>
      </c>
      <c r="B69" s="16" t="str">
        <f t="shared" si="1"/>
        <v>October</v>
      </c>
      <c r="C69" s="2" t="s">
        <v>14</v>
      </c>
      <c r="D69" s="2" t="str">
        <f t="shared" si="2"/>
        <v>Bogotá</v>
      </c>
      <c r="E69" s="2" t="s">
        <v>252</v>
      </c>
      <c r="F69" s="2" t="str">
        <f>IFERROR(__xludf.DUMMYFUNCTION("SPLIT(E69, ""-"")"),"Auriculares")</f>
        <v>Auriculares</v>
      </c>
      <c r="G69" s="2" t="str">
        <f>IFERROR(__xludf.DUMMYFUNCTION("""COMPUTED_VALUE"""),"Bluetooth")</f>
        <v>Bluetooth</v>
      </c>
      <c r="H69" s="2" t="str">
        <f>IFERROR(__xludf.DUMMYFUNCTION("""COMPUTED_VALUE"""),"8GB")</f>
        <v>8GB</v>
      </c>
      <c r="I69" s="17">
        <v>1090.69</v>
      </c>
      <c r="J69" s="6">
        <v>1.0</v>
      </c>
      <c r="K69" s="17">
        <v>1090.69</v>
      </c>
      <c r="L69" s="2" t="s">
        <v>253</v>
      </c>
      <c r="M69" s="2" t="s">
        <v>254</v>
      </c>
      <c r="N69" s="2" t="s">
        <v>255</v>
      </c>
    </row>
    <row r="70" ht="15.75" customHeight="1">
      <c r="A70" s="18">
        <v>45580.0</v>
      </c>
      <c r="B70" s="16" t="str">
        <f t="shared" si="1"/>
        <v>October</v>
      </c>
      <c r="C70" s="2" t="s">
        <v>9</v>
      </c>
      <c r="D70" s="2" t="str">
        <f t="shared" si="2"/>
        <v>Monterrey</v>
      </c>
      <c r="E70" s="2" t="s">
        <v>256</v>
      </c>
      <c r="F70" s="2" t="str">
        <f>IFERROR(__xludf.DUMMYFUNCTION("SPLIT(E70, ""-"")"),"Auriculares")</f>
        <v>Auriculares</v>
      </c>
      <c r="G70" s="2" t="str">
        <f>IFERROR(__xludf.DUMMYFUNCTION("""COMPUTED_VALUE"""),"Cancelación de ruido")</f>
        <v>Cancelación de ruido</v>
      </c>
      <c r="H70" s="2" t="str">
        <f>IFERROR(__xludf.DUMMYFUNCTION("""COMPUTED_VALUE"""),"8GB")</f>
        <v>8GB</v>
      </c>
      <c r="I70" s="17">
        <v>882.55</v>
      </c>
      <c r="J70" s="6">
        <v>5.0</v>
      </c>
      <c r="K70" s="17">
        <v>4412.75</v>
      </c>
      <c r="L70" s="2" t="s">
        <v>257</v>
      </c>
      <c r="M70" s="2" t="s">
        <v>258</v>
      </c>
      <c r="N70" s="2" t="s">
        <v>259</v>
      </c>
    </row>
    <row r="71" ht="15.75" customHeight="1">
      <c r="A71" s="18">
        <v>45580.0</v>
      </c>
      <c r="B71" s="16" t="str">
        <f t="shared" si="1"/>
        <v>October</v>
      </c>
      <c r="C71" s="3" t="s">
        <v>29</v>
      </c>
      <c r="D71" s="2" t="str">
        <f t="shared" si="2"/>
        <v>Ciudad De Mexico</v>
      </c>
      <c r="E71" s="2" t="s">
        <v>35</v>
      </c>
      <c r="F71" s="2" t="str">
        <f>IFERROR(__xludf.DUMMYFUNCTION("SPLIT(E71, ""-"")"),"Tablet")</f>
        <v>Tablet</v>
      </c>
      <c r="G71" s="2" t="str">
        <f>IFERROR(__xludf.DUMMYFUNCTION("""COMPUTED_VALUE"""),"Pro")</f>
        <v>Pro</v>
      </c>
      <c r="H71" s="2" t="str">
        <f>IFERROR(__xludf.DUMMYFUNCTION("""COMPUTED_VALUE"""),"4GB")</f>
        <v>4GB</v>
      </c>
      <c r="I71" s="17">
        <v>1909.2</v>
      </c>
      <c r="J71" s="6">
        <v>3.0</v>
      </c>
      <c r="K71" s="17">
        <v>5727.6</v>
      </c>
      <c r="L71" s="2" t="s">
        <v>260</v>
      </c>
      <c r="M71" s="2" t="s">
        <v>261</v>
      </c>
      <c r="N71" s="2" t="s">
        <v>262</v>
      </c>
    </row>
    <row r="72" ht="15.75" customHeight="1">
      <c r="A72" s="18">
        <v>45580.0</v>
      </c>
      <c r="B72" s="16" t="str">
        <f t="shared" si="1"/>
        <v>October</v>
      </c>
      <c r="C72" s="3" t="s">
        <v>29</v>
      </c>
      <c r="D72" s="2" t="str">
        <f t="shared" si="2"/>
        <v>Ciudad De Mexico</v>
      </c>
      <c r="E72" s="2" t="s">
        <v>49</v>
      </c>
      <c r="F72" s="2" t="str">
        <f>IFERROR(__xludf.DUMMYFUNCTION("SPLIT(E72, ""-"")"),"Tablet")</f>
        <v>Tablet</v>
      </c>
      <c r="G72" s="2" t="str">
        <f>IFERROR(__xludf.DUMMYFUNCTION("""COMPUTED_VALUE"""),"Estándar")</f>
        <v>Estándar</v>
      </c>
      <c r="H72" s="2" t="str">
        <f>IFERROR(__xludf.DUMMYFUNCTION("""COMPUTED_VALUE"""),"32GB")</f>
        <v>32GB</v>
      </c>
      <c r="I72" s="17">
        <v>2381.87</v>
      </c>
      <c r="J72" s="6">
        <v>1.0</v>
      </c>
      <c r="K72" s="17">
        <v>2381.87</v>
      </c>
      <c r="L72" s="2" t="s">
        <v>263</v>
      </c>
      <c r="M72" s="2" t="s">
        <v>264</v>
      </c>
      <c r="N72" s="2" t="s">
        <v>265</v>
      </c>
    </row>
    <row r="73" ht="15.75" customHeight="1">
      <c r="A73" s="18">
        <v>45580.0</v>
      </c>
      <c r="B73" s="16" t="str">
        <f t="shared" si="1"/>
        <v>October</v>
      </c>
      <c r="C73" s="2" t="s">
        <v>34</v>
      </c>
      <c r="D73" s="2" t="str">
        <f t="shared" si="2"/>
        <v>Medellín</v>
      </c>
      <c r="E73" s="2" t="s">
        <v>179</v>
      </c>
      <c r="F73" s="2" t="str">
        <f>IFERROR(__xludf.DUMMYFUNCTION("SPLIT(E73, ""-"")"),"Tablet")</f>
        <v>Tablet</v>
      </c>
      <c r="G73" s="2" t="str">
        <f>IFERROR(__xludf.DUMMYFUNCTION("""COMPUTED_VALUE"""),"Mini")</f>
        <v>Mini</v>
      </c>
      <c r="H73" s="2" t="str">
        <f>IFERROR(__xludf.DUMMYFUNCTION("""COMPUTED_VALUE"""),"4GB")</f>
        <v>4GB</v>
      </c>
      <c r="I73" s="17">
        <v>68.0</v>
      </c>
      <c r="J73" s="6">
        <v>3.0</v>
      </c>
      <c r="K73" s="17">
        <v>204.0</v>
      </c>
      <c r="L73" s="2" t="s">
        <v>266</v>
      </c>
      <c r="M73" s="2" t="s">
        <v>267</v>
      </c>
      <c r="N73" s="2" t="s">
        <v>268</v>
      </c>
    </row>
    <row r="74" ht="15.75" customHeight="1">
      <c r="A74" s="18">
        <v>45580.0</v>
      </c>
      <c r="B74" s="16" t="str">
        <f t="shared" si="1"/>
        <v>October</v>
      </c>
      <c r="C74" s="2" t="s">
        <v>74</v>
      </c>
      <c r="D74" s="2" t="str">
        <f t="shared" si="2"/>
        <v>Cali</v>
      </c>
      <c r="E74" s="2" t="s">
        <v>269</v>
      </c>
      <c r="F74" s="2" t="str">
        <f>IFERROR(__xludf.DUMMYFUNCTION("SPLIT(E74, ""-"")"),"Teléfono")</f>
        <v>Teléfono</v>
      </c>
      <c r="G74" s="2" t="str">
        <f>IFERROR(__xludf.DUMMYFUNCTION("""COMPUTED_VALUE"""),"Gama baja")</f>
        <v>Gama baja</v>
      </c>
      <c r="H74" s="2" t="str">
        <f>IFERROR(__xludf.DUMMYFUNCTION("""COMPUTED_VALUE"""),"32GB")</f>
        <v>32GB</v>
      </c>
      <c r="I74" s="17">
        <v>571.73</v>
      </c>
      <c r="J74" s="6">
        <v>4.0</v>
      </c>
      <c r="K74" s="17">
        <v>2286.92</v>
      </c>
      <c r="L74" s="2" t="s">
        <v>270</v>
      </c>
      <c r="M74" s="2" t="s">
        <v>271</v>
      </c>
      <c r="N74" s="2" t="s">
        <v>272</v>
      </c>
    </row>
    <row r="75" ht="15.75" customHeight="1">
      <c r="A75" s="18">
        <v>45580.0</v>
      </c>
      <c r="B75" s="16" t="str">
        <f t="shared" si="1"/>
        <v>October</v>
      </c>
      <c r="C75" s="2" t="s">
        <v>14</v>
      </c>
      <c r="D75" s="2" t="str">
        <f t="shared" si="2"/>
        <v>Bogotá</v>
      </c>
      <c r="E75" s="2" t="s">
        <v>15</v>
      </c>
      <c r="F75" s="2" t="str">
        <f>IFERROR(__xludf.DUMMYFUNCTION("SPLIT(E75, ""-"")"),"Auriculares")</f>
        <v>Auriculares</v>
      </c>
      <c r="G75" s="2" t="str">
        <f>IFERROR(__xludf.DUMMYFUNCTION("""COMPUTED_VALUE"""),"Con cable")</f>
        <v>Con cable</v>
      </c>
      <c r="H75" s="2" t="str">
        <f>IFERROR(__xludf.DUMMYFUNCTION("""COMPUTED_VALUE"""),"32GB")</f>
        <v>32GB</v>
      </c>
      <c r="I75" s="17">
        <v>2009.75</v>
      </c>
      <c r="J75" s="6">
        <v>2.0</v>
      </c>
      <c r="K75" s="17">
        <v>4019.5</v>
      </c>
      <c r="L75" s="2" t="s">
        <v>273</v>
      </c>
      <c r="M75" s="2" t="s">
        <v>274</v>
      </c>
      <c r="N75" s="2" t="s">
        <v>275</v>
      </c>
    </row>
    <row r="76" ht="15.75" customHeight="1">
      <c r="A76" s="18">
        <v>45580.0</v>
      </c>
      <c r="B76" s="16" t="str">
        <f t="shared" si="1"/>
        <v>October</v>
      </c>
      <c r="C76" s="2" t="s">
        <v>57</v>
      </c>
      <c r="D76" s="2" t="str">
        <f t="shared" si="2"/>
        <v>Guadalajara</v>
      </c>
      <c r="E76" s="2" t="s">
        <v>70</v>
      </c>
      <c r="F76" s="2" t="str">
        <f>IFERROR(__xludf.DUMMYFUNCTION("SPLIT(E76, ""-"")"),"Auriculares")</f>
        <v>Auriculares</v>
      </c>
      <c r="G76" s="2" t="str">
        <f>IFERROR(__xludf.DUMMYFUNCTION("""COMPUTED_VALUE"""),"Bluetooth")</f>
        <v>Bluetooth</v>
      </c>
      <c r="H76" s="2" t="str">
        <f>IFERROR(__xludf.DUMMYFUNCTION("""COMPUTED_VALUE"""),"16GB")</f>
        <v>16GB</v>
      </c>
      <c r="I76" s="17">
        <v>2289.42</v>
      </c>
      <c r="J76" s="6">
        <v>4.0</v>
      </c>
      <c r="K76" s="17">
        <v>9157.68</v>
      </c>
      <c r="L76" s="2" t="s">
        <v>276</v>
      </c>
      <c r="M76" s="2" t="s">
        <v>277</v>
      </c>
      <c r="N76" s="2" t="s">
        <v>278</v>
      </c>
    </row>
    <row r="77" ht="15.75" customHeight="1">
      <c r="A77" s="18">
        <v>45580.0</v>
      </c>
      <c r="B77" s="16" t="str">
        <f t="shared" si="1"/>
        <v>October</v>
      </c>
      <c r="C77" s="2" t="s">
        <v>9</v>
      </c>
      <c r="D77" s="2" t="str">
        <f t="shared" si="2"/>
        <v>Monterrey</v>
      </c>
      <c r="E77" s="2" t="s">
        <v>279</v>
      </c>
      <c r="F77" s="2" t="str">
        <f>IFERROR(__xludf.DUMMYFUNCTION("SPLIT(E77, ""-"")"),"Tablet")</f>
        <v>Tablet</v>
      </c>
      <c r="G77" s="2" t="str">
        <f>IFERROR(__xludf.DUMMYFUNCTION("""COMPUTED_VALUE"""),"Pro")</f>
        <v>Pro</v>
      </c>
      <c r="H77" s="2" t="str">
        <f>IFERROR(__xludf.DUMMYFUNCTION("""COMPUTED_VALUE"""),"16GB")</f>
        <v>16GB</v>
      </c>
      <c r="I77" s="17">
        <v>1414.97</v>
      </c>
      <c r="J77" s="6">
        <v>1.0</v>
      </c>
      <c r="K77" s="17">
        <v>1414.97</v>
      </c>
      <c r="L77" s="2" t="s">
        <v>280</v>
      </c>
      <c r="M77" s="2" t="s">
        <v>281</v>
      </c>
      <c r="N77" s="2" t="s">
        <v>282</v>
      </c>
    </row>
    <row r="78" ht="15.75" customHeight="1">
      <c r="A78" s="18">
        <v>45580.0</v>
      </c>
      <c r="B78" s="16" t="str">
        <f t="shared" si="1"/>
        <v>October</v>
      </c>
      <c r="C78" s="2" t="s">
        <v>74</v>
      </c>
      <c r="D78" s="2" t="str">
        <f t="shared" si="2"/>
        <v>Cali</v>
      </c>
      <c r="E78" s="2" t="s">
        <v>187</v>
      </c>
      <c r="F78" s="2" t="str">
        <f>IFERROR(__xludf.DUMMYFUNCTION("SPLIT(E78, ""-"")"),"Laptop")</f>
        <v>Laptop</v>
      </c>
      <c r="G78" s="2" t="str">
        <f>IFERROR(__xludf.DUMMYFUNCTION("""COMPUTED_VALUE"""),"Ultraliviana")</f>
        <v>Ultraliviana</v>
      </c>
      <c r="H78" s="2" t="str">
        <f>IFERROR(__xludf.DUMMYFUNCTION("""COMPUTED_VALUE"""),"16GB")</f>
        <v>16GB</v>
      </c>
      <c r="I78" s="17">
        <v>2332.8</v>
      </c>
      <c r="J78" s="6">
        <v>1.0</v>
      </c>
      <c r="K78" s="17">
        <v>2332.8</v>
      </c>
      <c r="L78" s="2" t="s">
        <v>283</v>
      </c>
      <c r="M78" s="2" t="s">
        <v>284</v>
      </c>
      <c r="N78" s="2" t="s">
        <v>285</v>
      </c>
    </row>
    <row r="79" ht="15.75" customHeight="1">
      <c r="A79" s="18">
        <v>45580.0</v>
      </c>
      <c r="B79" s="16" t="str">
        <f t="shared" si="1"/>
        <v>October</v>
      </c>
      <c r="C79" s="2" t="s">
        <v>74</v>
      </c>
      <c r="D79" s="2" t="str">
        <f t="shared" si="2"/>
        <v>Cali</v>
      </c>
      <c r="E79" s="2" t="s">
        <v>83</v>
      </c>
      <c r="F79" s="2" t="str">
        <f>IFERROR(__xludf.DUMMYFUNCTION("SPLIT(E79, ""-"")"),"Teléfono")</f>
        <v>Teléfono</v>
      </c>
      <c r="G79" s="2" t="str">
        <f>IFERROR(__xludf.DUMMYFUNCTION("""COMPUTED_VALUE"""),"Gama media")</f>
        <v>Gama media</v>
      </c>
      <c r="H79" s="2" t="str">
        <f>IFERROR(__xludf.DUMMYFUNCTION("""COMPUTED_VALUE"""),"32GB")</f>
        <v>32GB</v>
      </c>
      <c r="I79" s="17">
        <v>379.5</v>
      </c>
      <c r="J79" s="6">
        <v>4.0</v>
      </c>
      <c r="K79" s="17">
        <v>1518.0</v>
      </c>
      <c r="L79" s="2" t="s">
        <v>286</v>
      </c>
      <c r="M79" s="2" t="s">
        <v>287</v>
      </c>
      <c r="N79" s="2" t="s">
        <v>288</v>
      </c>
    </row>
    <row r="80" ht="15.75" customHeight="1">
      <c r="A80" s="18">
        <v>45580.0</v>
      </c>
      <c r="B80" s="16" t="str">
        <f t="shared" si="1"/>
        <v>October</v>
      </c>
      <c r="C80" s="2" t="s">
        <v>9</v>
      </c>
      <c r="D80" s="2" t="str">
        <f t="shared" si="2"/>
        <v>Monterrey</v>
      </c>
      <c r="E80" s="2" t="s">
        <v>289</v>
      </c>
      <c r="F80" s="2" t="str">
        <f>IFERROR(__xludf.DUMMYFUNCTION("SPLIT(E80, ""-"")"),"Teléfono")</f>
        <v>Teléfono</v>
      </c>
      <c r="G80" s="2" t="str">
        <f>IFERROR(__xludf.DUMMYFUNCTION("""COMPUTED_VALUE"""),"Gama alta")</f>
        <v>Gama alta</v>
      </c>
      <c r="H80" s="2" t="str">
        <f>IFERROR(__xludf.DUMMYFUNCTION("""COMPUTED_VALUE"""),"16GB")</f>
        <v>16GB</v>
      </c>
      <c r="I80" s="17">
        <v>2020.01</v>
      </c>
      <c r="J80" s="6">
        <v>5.0</v>
      </c>
      <c r="K80" s="17">
        <v>10100.05</v>
      </c>
      <c r="L80" s="2" t="s">
        <v>290</v>
      </c>
      <c r="M80" s="2" t="s">
        <v>291</v>
      </c>
      <c r="N80" s="2" t="s">
        <v>292</v>
      </c>
    </row>
    <row r="81" ht="15.75" customHeight="1">
      <c r="A81" s="18">
        <v>45580.0</v>
      </c>
      <c r="B81" s="16" t="str">
        <f t="shared" si="1"/>
        <v>October</v>
      </c>
      <c r="C81" s="2" t="s">
        <v>9</v>
      </c>
      <c r="D81" s="2" t="str">
        <f t="shared" si="2"/>
        <v>Monterrey</v>
      </c>
      <c r="E81" s="2" t="s">
        <v>15</v>
      </c>
      <c r="F81" s="2" t="str">
        <f>IFERROR(__xludf.DUMMYFUNCTION("SPLIT(E81, ""-"")"),"Auriculares")</f>
        <v>Auriculares</v>
      </c>
      <c r="G81" s="2" t="str">
        <f>IFERROR(__xludf.DUMMYFUNCTION("""COMPUTED_VALUE"""),"Con cable")</f>
        <v>Con cable</v>
      </c>
      <c r="H81" s="2" t="str">
        <f>IFERROR(__xludf.DUMMYFUNCTION("""COMPUTED_VALUE"""),"32GB")</f>
        <v>32GB</v>
      </c>
      <c r="I81" s="17">
        <v>428.56</v>
      </c>
      <c r="J81" s="6">
        <v>1.0</v>
      </c>
      <c r="K81" s="17">
        <v>428.56</v>
      </c>
      <c r="L81" s="2" t="s">
        <v>293</v>
      </c>
      <c r="M81" s="2" t="s">
        <v>294</v>
      </c>
      <c r="N81" s="2" t="s">
        <v>295</v>
      </c>
    </row>
    <row r="82" ht="15.75" customHeight="1">
      <c r="A82" s="18">
        <v>45580.0</v>
      </c>
      <c r="B82" s="16" t="str">
        <f t="shared" si="1"/>
        <v>October</v>
      </c>
      <c r="C82" s="2" t="s">
        <v>74</v>
      </c>
      <c r="D82" s="2" t="str">
        <f t="shared" si="2"/>
        <v>Cali</v>
      </c>
      <c r="E82" s="2" t="s">
        <v>22</v>
      </c>
      <c r="F82" s="2" t="str">
        <f>IFERROR(__xludf.DUMMYFUNCTION("SPLIT(E82, ""-"")"),"Tablet")</f>
        <v>Tablet</v>
      </c>
      <c r="G82" s="2" t="str">
        <f>IFERROR(__xludf.DUMMYFUNCTION("""COMPUTED_VALUE"""),"Estándar")</f>
        <v>Estándar</v>
      </c>
      <c r="H82" s="2" t="str">
        <f>IFERROR(__xludf.DUMMYFUNCTION("""COMPUTED_VALUE"""),"16GB")</f>
        <v>16GB</v>
      </c>
      <c r="I82" s="17">
        <v>1966.38</v>
      </c>
      <c r="J82" s="6">
        <v>5.0</v>
      </c>
      <c r="K82" s="17">
        <v>9831.9</v>
      </c>
      <c r="L82" s="2" t="s">
        <v>296</v>
      </c>
      <c r="M82" s="2" t="s">
        <v>297</v>
      </c>
      <c r="N82" s="2" t="s">
        <v>298</v>
      </c>
    </row>
    <row r="83" ht="15.75" customHeight="1">
      <c r="A83" s="18">
        <v>45580.0</v>
      </c>
      <c r="B83" s="16" t="str">
        <f t="shared" si="1"/>
        <v>October</v>
      </c>
      <c r="C83" s="2" t="s">
        <v>34</v>
      </c>
      <c r="D83" s="2" t="str">
        <f t="shared" si="2"/>
        <v>Medellín</v>
      </c>
      <c r="E83" s="2" t="s">
        <v>53</v>
      </c>
      <c r="F83" s="2" t="str">
        <f>IFERROR(__xludf.DUMMYFUNCTION("SPLIT(E83, ""-"")"),"Laptop")</f>
        <v>Laptop</v>
      </c>
      <c r="G83" s="2" t="str">
        <f>IFERROR(__xludf.DUMMYFUNCTION("""COMPUTED_VALUE"""),"Oficina")</f>
        <v>Oficina</v>
      </c>
      <c r="H83" s="2" t="str">
        <f>IFERROR(__xludf.DUMMYFUNCTION("""COMPUTED_VALUE"""),"8GB")</f>
        <v>8GB</v>
      </c>
      <c r="I83" s="17">
        <v>2242.47</v>
      </c>
      <c r="J83" s="6">
        <v>4.0</v>
      </c>
      <c r="K83" s="17">
        <v>8969.88</v>
      </c>
      <c r="L83" s="2" t="s">
        <v>299</v>
      </c>
      <c r="M83" s="2" t="s">
        <v>300</v>
      </c>
      <c r="N83" s="2" t="s">
        <v>301</v>
      </c>
    </row>
    <row r="84" ht="15.75" customHeight="1">
      <c r="A84" s="18">
        <v>45580.0</v>
      </c>
      <c r="B84" s="16" t="str">
        <f t="shared" si="1"/>
        <v>October</v>
      </c>
      <c r="C84" s="2" t="s">
        <v>34</v>
      </c>
      <c r="D84" s="2" t="str">
        <f t="shared" si="2"/>
        <v>Medellín</v>
      </c>
      <c r="E84" s="2" t="s">
        <v>66</v>
      </c>
      <c r="F84" s="2" t="str">
        <f>IFERROR(__xludf.DUMMYFUNCTION("SPLIT(E84, ""-"")"),"Tablet")</f>
        <v>Tablet</v>
      </c>
      <c r="G84" s="2" t="str">
        <f>IFERROR(__xludf.DUMMYFUNCTION("""COMPUTED_VALUE"""),"Estándar")</f>
        <v>Estándar</v>
      </c>
      <c r="H84" s="2" t="str">
        <f>IFERROR(__xludf.DUMMYFUNCTION("""COMPUTED_VALUE"""),"4GB")</f>
        <v>4GB</v>
      </c>
      <c r="I84" s="17">
        <v>1896.1</v>
      </c>
      <c r="J84" s="6">
        <v>2.0</v>
      </c>
      <c r="K84" s="17">
        <v>3792.2</v>
      </c>
      <c r="L84" s="2" t="s">
        <v>302</v>
      </c>
      <c r="M84" s="2" t="s">
        <v>303</v>
      </c>
      <c r="N84" s="2" t="s">
        <v>304</v>
      </c>
    </row>
    <row r="85" ht="15.75" customHeight="1">
      <c r="A85" s="18">
        <v>45580.0</v>
      </c>
      <c r="B85" s="16" t="str">
        <f t="shared" si="1"/>
        <v>October</v>
      </c>
      <c r="C85" s="2" t="s">
        <v>14</v>
      </c>
      <c r="D85" s="2" t="str">
        <f t="shared" si="2"/>
        <v>Bogotá</v>
      </c>
      <c r="E85" s="2" t="s">
        <v>215</v>
      </c>
      <c r="F85" s="2" t="str">
        <f>IFERROR(__xludf.DUMMYFUNCTION("SPLIT(E85, ""-"")"),"Teléfono")</f>
        <v>Teléfono</v>
      </c>
      <c r="G85" s="2" t="str">
        <f>IFERROR(__xludf.DUMMYFUNCTION("""COMPUTED_VALUE"""),"Gama media")</f>
        <v>Gama media</v>
      </c>
      <c r="H85" s="2" t="str">
        <f>IFERROR(__xludf.DUMMYFUNCTION("""COMPUTED_VALUE"""),"4GB")</f>
        <v>4GB</v>
      </c>
      <c r="I85" s="17">
        <v>829.53</v>
      </c>
      <c r="J85" s="6">
        <v>4.0</v>
      </c>
      <c r="K85" s="17">
        <v>3318.12</v>
      </c>
      <c r="L85" s="2" t="s">
        <v>305</v>
      </c>
      <c r="M85" s="2" t="s">
        <v>306</v>
      </c>
      <c r="N85" s="2" t="s">
        <v>307</v>
      </c>
    </row>
    <row r="86" ht="15.75" customHeight="1">
      <c r="A86" s="18">
        <v>45580.0</v>
      </c>
      <c r="B86" s="16" t="str">
        <f t="shared" si="1"/>
        <v>October</v>
      </c>
      <c r="C86" s="2" t="s">
        <v>34</v>
      </c>
      <c r="D86" s="2" t="str">
        <f t="shared" si="2"/>
        <v>Medellín</v>
      </c>
      <c r="E86" s="2" t="s">
        <v>308</v>
      </c>
      <c r="F86" s="2" t="str">
        <f>IFERROR(__xludf.DUMMYFUNCTION("SPLIT(E86, ""-"")"),"Laptop")</f>
        <v>Laptop</v>
      </c>
      <c r="G86" s="2" t="str">
        <f>IFERROR(__xludf.DUMMYFUNCTION("""COMPUTED_VALUE"""),"Ultraliviana")</f>
        <v>Ultraliviana</v>
      </c>
      <c r="H86" s="2" t="str">
        <f>IFERROR(__xludf.DUMMYFUNCTION("""COMPUTED_VALUE"""),"32GB")</f>
        <v>32GB</v>
      </c>
      <c r="I86" s="17">
        <v>2377.34</v>
      </c>
      <c r="J86" s="6">
        <v>2.0</v>
      </c>
      <c r="K86" s="17">
        <v>4754.68</v>
      </c>
      <c r="L86" s="2" t="s">
        <v>309</v>
      </c>
      <c r="M86" s="2" t="s">
        <v>310</v>
      </c>
      <c r="N86" s="2" t="s">
        <v>311</v>
      </c>
    </row>
    <row r="87" ht="15.75" customHeight="1">
      <c r="A87" s="18">
        <v>45581.0</v>
      </c>
      <c r="B87" s="16" t="str">
        <f t="shared" si="1"/>
        <v>October</v>
      </c>
      <c r="C87" s="2" t="s">
        <v>57</v>
      </c>
      <c r="D87" s="2" t="str">
        <f t="shared" si="2"/>
        <v>Guadalajara</v>
      </c>
      <c r="E87" s="2" t="s">
        <v>312</v>
      </c>
      <c r="F87" s="2" t="str">
        <f>IFERROR(__xludf.DUMMYFUNCTION("SPLIT(E87, ""-"")"),"Teléfono")</f>
        <v>Teléfono</v>
      </c>
      <c r="G87" s="2" t="str">
        <f>IFERROR(__xludf.DUMMYFUNCTION("""COMPUTED_VALUE"""),"Gama baja")</f>
        <v>Gama baja</v>
      </c>
      <c r="H87" s="2" t="str">
        <f>IFERROR(__xludf.DUMMYFUNCTION("""COMPUTED_VALUE"""),"8GB")</f>
        <v>8GB</v>
      </c>
      <c r="I87" s="17">
        <v>1614.05</v>
      </c>
      <c r="J87" s="6">
        <v>1.0</v>
      </c>
      <c r="K87" s="17">
        <v>1614.05</v>
      </c>
      <c r="L87" s="2" t="s">
        <v>313</v>
      </c>
      <c r="M87" s="2" t="s">
        <v>314</v>
      </c>
      <c r="N87" s="2" t="s">
        <v>315</v>
      </c>
    </row>
    <row r="88" ht="15.75" customHeight="1">
      <c r="A88" s="18">
        <v>45581.0</v>
      </c>
      <c r="B88" s="16" t="str">
        <f t="shared" si="1"/>
        <v>October</v>
      </c>
      <c r="C88" s="2" t="s">
        <v>9</v>
      </c>
      <c r="D88" s="2" t="str">
        <f t="shared" si="2"/>
        <v>Monterrey</v>
      </c>
      <c r="E88" s="2" t="s">
        <v>316</v>
      </c>
      <c r="F88" s="2" t="str">
        <f>IFERROR(__xludf.DUMMYFUNCTION("SPLIT(E88, ""-"")"),"Tablet")</f>
        <v>Tablet</v>
      </c>
      <c r="G88" s="2" t="str">
        <f>IFERROR(__xludf.DUMMYFUNCTION("""COMPUTED_VALUE"""),"Pro")</f>
        <v>Pro</v>
      </c>
      <c r="H88" s="2" t="str">
        <f>IFERROR(__xludf.DUMMYFUNCTION("""COMPUTED_VALUE"""),"32GB")</f>
        <v>32GB</v>
      </c>
      <c r="I88" s="17">
        <v>1805.81</v>
      </c>
      <c r="J88" s="6">
        <v>3.0</v>
      </c>
      <c r="K88" s="17">
        <v>5417.43</v>
      </c>
      <c r="L88" s="2" t="s">
        <v>317</v>
      </c>
      <c r="M88" s="2" t="s">
        <v>318</v>
      </c>
      <c r="N88" s="2" t="s">
        <v>319</v>
      </c>
    </row>
    <row r="89" ht="15.75" customHeight="1">
      <c r="A89" s="18">
        <v>45581.0</v>
      </c>
      <c r="B89" s="16" t="str">
        <f t="shared" si="1"/>
        <v>October</v>
      </c>
      <c r="C89" s="2" t="s">
        <v>57</v>
      </c>
      <c r="D89" s="2" t="str">
        <f t="shared" si="2"/>
        <v>Guadalajara</v>
      </c>
      <c r="E89" s="2" t="s">
        <v>230</v>
      </c>
      <c r="F89" s="2" t="str">
        <f>IFERROR(__xludf.DUMMYFUNCTION("SPLIT(E89, ""-"")"),"Tablet")</f>
        <v>Tablet</v>
      </c>
      <c r="G89" s="2" t="str">
        <f>IFERROR(__xludf.DUMMYFUNCTION("""COMPUTED_VALUE"""),"Mini")</f>
        <v>Mini</v>
      </c>
      <c r="H89" s="2" t="str">
        <f>IFERROR(__xludf.DUMMYFUNCTION("""COMPUTED_VALUE"""),"16GB")</f>
        <v>16GB</v>
      </c>
      <c r="I89" s="17">
        <v>1112.48</v>
      </c>
      <c r="J89" s="6">
        <v>2.0</v>
      </c>
      <c r="K89" s="17">
        <v>2224.96</v>
      </c>
      <c r="L89" s="2" t="s">
        <v>320</v>
      </c>
      <c r="M89" s="2" t="s">
        <v>321</v>
      </c>
      <c r="N89" s="2" t="s">
        <v>322</v>
      </c>
    </row>
    <row r="90" ht="15.75" customHeight="1">
      <c r="A90" s="18">
        <v>45581.0</v>
      </c>
      <c r="B90" s="16" t="str">
        <f t="shared" si="1"/>
        <v>October</v>
      </c>
      <c r="C90" s="2" t="s">
        <v>57</v>
      </c>
      <c r="D90" s="2" t="str">
        <f t="shared" si="2"/>
        <v>Guadalajara</v>
      </c>
      <c r="E90" s="2" t="s">
        <v>279</v>
      </c>
      <c r="F90" s="2" t="str">
        <f>IFERROR(__xludf.DUMMYFUNCTION("SPLIT(E90, ""-"")"),"Tablet")</f>
        <v>Tablet</v>
      </c>
      <c r="G90" s="2" t="str">
        <f>IFERROR(__xludf.DUMMYFUNCTION("""COMPUTED_VALUE"""),"Pro")</f>
        <v>Pro</v>
      </c>
      <c r="H90" s="2" t="str">
        <f>IFERROR(__xludf.DUMMYFUNCTION("""COMPUTED_VALUE"""),"16GB")</f>
        <v>16GB</v>
      </c>
      <c r="I90" s="17">
        <v>2264.15</v>
      </c>
      <c r="J90" s="6">
        <v>5.0</v>
      </c>
      <c r="K90" s="17">
        <v>11320.75</v>
      </c>
      <c r="L90" s="2" t="s">
        <v>323</v>
      </c>
      <c r="M90" s="2" t="s">
        <v>324</v>
      </c>
      <c r="N90" s="2" t="s">
        <v>325</v>
      </c>
    </row>
    <row r="91" ht="15.75" customHeight="1">
      <c r="A91" s="22">
        <v>45581.0</v>
      </c>
      <c r="B91" s="16" t="str">
        <f t="shared" si="1"/>
        <v>October</v>
      </c>
      <c r="C91" s="2" t="s">
        <v>74</v>
      </c>
      <c r="D91" s="2" t="str">
        <f t="shared" si="2"/>
        <v>Cali</v>
      </c>
      <c r="E91" s="2" t="s">
        <v>115</v>
      </c>
      <c r="F91" s="2" t="str">
        <f>IFERROR(__xludf.DUMMYFUNCTION("SPLIT(E91, ""-"")"),"Teléfono")</f>
        <v>Teléfono</v>
      </c>
      <c r="G91" s="2" t="str">
        <f>IFERROR(__xludf.DUMMYFUNCTION("""COMPUTED_VALUE"""),"Gama baja")</f>
        <v>Gama baja</v>
      </c>
      <c r="H91" s="2" t="str">
        <f>IFERROR(__xludf.DUMMYFUNCTION("""COMPUTED_VALUE"""),"16GB")</f>
        <v>16GB</v>
      </c>
      <c r="I91" s="17">
        <v>833.39</v>
      </c>
      <c r="J91" s="6">
        <v>1.0</v>
      </c>
      <c r="K91" s="17">
        <v>833.39</v>
      </c>
      <c r="L91" s="2" t="s">
        <v>326</v>
      </c>
      <c r="M91" s="2" t="s">
        <v>327</v>
      </c>
      <c r="N91" s="2" t="s">
        <v>328</v>
      </c>
    </row>
    <row r="92" ht="15.75" customHeight="1">
      <c r="A92" s="18">
        <v>45581.0</v>
      </c>
      <c r="B92" s="16" t="str">
        <f t="shared" si="1"/>
        <v>October</v>
      </c>
      <c r="C92" s="2" t="s">
        <v>14</v>
      </c>
      <c r="D92" s="2" t="str">
        <f t="shared" si="2"/>
        <v>Bogotá</v>
      </c>
      <c r="E92" s="2" t="s">
        <v>215</v>
      </c>
      <c r="F92" s="2" t="str">
        <f>IFERROR(__xludf.DUMMYFUNCTION("SPLIT(E92, ""-"")"),"Teléfono")</f>
        <v>Teléfono</v>
      </c>
      <c r="G92" s="2" t="str">
        <f>IFERROR(__xludf.DUMMYFUNCTION("""COMPUTED_VALUE"""),"Gama media")</f>
        <v>Gama media</v>
      </c>
      <c r="H92" s="2" t="str">
        <f>IFERROR(__xludf.DUMMYFUNCTION("""COMPUTED_VALUE"""),"4GB")</f>
        <v>4GB</v>
      </c>
      <c r="I92" s="20">
        <f>K92/J92</f>
        <v>2341.77</v>
      </c>
      <c r="J92" s="6">
        <v>5.0</v>
      </c>
      <c r="K92" s="17">
        <v>11708.85</v>
      </c>
      <c r="L92" s="2" t="s">
        <v>329</v>
      </c>
      <c r="M92" s="2" t="s">
        <v>330</v>
      </c>
      <c r="N92" s="2" t="s">
        <v>331</v>
      </c>
    </row>
    <row r="93" ht="15.75" customHeight="1">
      <c r="A93" s="18">
        <v>45581.0</v>
      </c>
      <c r="B93" s="16" t="str">
        <f t="shared" si="1"/>
        <v>October</v>
      </c>
      <c r="C93" s="2" t="s">
        <v>34</v>
      </c>
      <c r="D93" s="2" t="str">
        <f t="shared" si="2"/>
        <v>Medellín</v>
      </c>
      <c r="E93" s="2" t="s">
        <v>165</v>
      </c>
      <c r="F93" s="2" t="str">
        <f>IFERROR(__xludf.DUMMYFUNCTION("SPLIT(E93, ""-"")"),"Auriculares")</f>
        <v>Auriculares</v>
      </c>
      <c r="G93" s="2" t="str">
        <f>IFERROR(__xludf.DUMMYFUNCTION("""COMPUTED_VALUE"""),"Bluetooth")</f>
        <v>Bluetooth</v>
      </c>
      <c r="H93" s="2" t="str">
        <f>IFERROR(__xludf.DUMMYFUNCTION("""COMPUTED_VALUE"""),"32GB")</f>
        <v>32GB</v>
      </c>
      <c r="I93" s="17">
        <v>397.5</v>
      </c>
      <c r="J93" s="6">
        <v>2.0</v>
      </c>
      <c r="K93" s="17">
        <v>795.0</v>
      </c>
      <c r="L93" s="2" t="s">
        <v>332</v>
      </c>
      <c r="M93" s="2" t="s">
        <v>333</v>
      </c>
      <c r="N93" s="2" t="s">
        <v>334</v>
      </c>
    </row>
    <row r="94" ht="15.75" customHeight="1">
      <c r="A94" s="18">
        <v>45581.0</v>
      </c>
      <c r="B94" s="16" t="str">
        <f t="shared" si="1"/>
        <v>October</v>
      </c>
      <c r="C94" s="3" t="s">
        <v>29</v>
      </c>
      <c r="D94" s="2" t="str">
        <f t="shared" si="2"/>
        <v>Ciudad De Mexico</v>
      </c>
      <c r="E94" s="2" t="s">
        <v>88</v>
      </c>
      <c r="F94" s="2" t="str">
        <f>IFERROR(__xludf.DUMMYFUNCTION("SPLIT(E94, ""-"")"),"Laptop")</f>
        <v>Laptop</v>
      </c>
      <c r="G94" s="2" t="str">
        <f>IFERROR(__xludf.DUMMYFUNCTION("""COMPUTED_VALUE"""),"Gaming")</f>
        <v>Gaming</v>
      </c>
      <c r="H94" s="2" t="str">
        <f>IFERROR(__xludf.DUMMYFUNCTION("""COMPUTED_VALUE"""),"32GB")</f>
        <v>32GB</v>
      </c>
      <c r="I94" s="17">
        <v>100.75</v>
      </c>
      <c r="J94" s="6">
        <v>1.0</v>
      </c>
      <c r="K94" s="17">
        <v>100.75</v>
      </c>
      <c r="L94" s="2" t="s">
        <v>335</v>
      </c>
      <c r="M94" s="2" t="s">
        <v>336</v>
      </c>
      <c r="N94" s="2" t="s">
        <v>337</v>
      </c>
    </row>
    <row r="95" ht="15.75" customHeight="1">
      <c r="A95" s="18">
        <v>45581.0</v>
      </c>
      <c r="B95" s="16" t="str">
        <f t="shared" si="1"/>
        <v>October</v>
      </c>
      <c r="C95" s="3" t="s">
        <v>29</v>
      </c>
      <c r="D95" s="2" t="str">
        <f t="shared" si="2"/>
        <v>Ciudad De Mexico</v>
      </c>
      <c r="E95" s="2" t="s">
        <v>269</v>
      </c>
      <c r="F95" s="2" t="str">
        <f>IFERROR(__xludf.DUMMYFUNCTION("SPLIT(E95, ""-"")"),"Teléfono")</f>
        <v>Teléfono</v>
      </c>
      <c r="G95" s="2" t="str">
        <f>IFERROR(__xludf.DUMMYFUNCTION("""COMPUTED_VALUE"""),"Gama baja")</f>
        <v>Gama baja</v>
      </c>
      <c r="H95" s="2" t="str">
        <f>IFERROR(__xludf.DUMMYFUNCTION("""COMPUTED_VALUE"""),"32GB")</f>
        <v>32GB</v>
      </c>
      <c r="I95" s="17">
        <v>1268.91</v>
      </c>
      <c r="J95" s="6">
        <v>2.0</v>
      </c>
      <c r="K95" s="17">
        <v>2537.82</v>
      </c>
      <c r="L95" s="2" t="s">
        <v>338</v>
      </c>
      <c r="M95" s="2" t="s">
        <v>339</v>
      </c>
      <c r="N95" s="2" t="s">
        <v>340</v>
      </c>
    </row>
    <row r="96" ht="15.75" customHeight="1">
      <c r="A96" s="18">
        <v>45581.0</v>
      </c>
      <c r="B96" s="16" t="str">
        <f t="shared" si="1"/>
        <v>October</v>
      </c>
      <c r="C96" s="3" t="s">
        <v>29</v>
      </c>
      <c r="D96" s="2" t="str">
        <f t="shared" si="2"/>
        <v>Ciudad De Mexico</v>
      </c>
      <c r="E96" s="2" t="s">
        <v>341</v>
      </c>
      <c r="F96" s="2" t="str">
        <f>IFERROR(__xludf.DUMMYFUNCTION("SPLIT(E96, ""-"")"),"Laptop")</f>
        <v>Laptop</v>
      </c>
      <c r="G96" s="2" t="str">
        <f>IFERROR(__xludf.DUMMYFUNCTION("""COMPUTED_VALUE"""),"Ultraliviana")</f>
        <v>Ultraliviana</v>
      </c>
      <c r="H96" s="2" t="str">
        <f>IFERROR(__xludf.DUMMYFUNCTION("""COMPUTED_VALUE"""),"8GB")</f>
        <v>8GB</v>
      </c>
      <c r="I96" s="17">
        <v>903.41</v>
      </c>
      <c r="J96" s="6">
        <v>3.0</v>
      </c>
      <c r="K96" s="17">
        <v>2710.23</v>
      </c>
      <c r="L96" s="2" t="s">
        <v>342</v>
      </c>
      <c r="M96" s="2" t="s">
        <v>343</v>
      </c>
      <c r="N96" s="2" t="s">
        <v>344</v>
      </c>
    </row>
    <row r="97" ht="15.75" customHeight="1">
      <c r="A97" s="18">
        <v>45581.0</v>
      </c>
      <c r="B97" s="16" t="str">
        <f t="shared" si="1"/>
        <v>October</v>
      </c>
      <c r="C97" s="2" t="s">
        <v>34</v>
      </c>
      <c r="D97" s="2" t="str">
        <f t="shared" si="2"/>
        <v>Medellín</v>
      </c>
      <c r="E97" s="2" t="s">
        <v>341</v>
      </c>
      <c r="F97" s="2" t="str">
        <f>IFERROR(__xludf.DUMMYFUNCTION("SPLIT(E97, ""-"")"),"Laptop")</f>
        <v>Laptop</v>
      </c>
      <c r="G97" s="2" t="str">
        <f>IFERROR(__xludf.DUMMYFUNCTION("""COMPUTED_VALUE"""),"Ultraliviana")</f>
        <v>Ultraliviana</v>
      </c>
      <c r="H97" s="2" t="str">
        <f>IFERROR(__xludf.DUMMYFUNCTION("""COMPUTED_VALUE"""),"8GB")</f>
        <v>8GB</v>
      </c>
      <c r="I97" s="17">
        <v>259.75</v>
      </c>
      <c r="J97" s="6">
        <v>4.0</v>
      </c>
      <c r="K97" s="17">
        <v>1039.0</v>
      </c>
      <c r="L97" s="2" t="s">
        <v>345</v>
      </c>
      <c r="M97" s="2" t="s">
        <v>346</v>
      </c>
      <c r="N97" s="2" t="s">
        <v>347</v>
      </c>
    </row>
    <row r="98" ht="15.75" customHeight="1">
      <c r="A98" s="18">
        <v>45582.0</v>
      </c>
      <c r="B98" s="16" t="str">
        <f t="shared" si="1"/>
        <v>October</v>
      </c>
      <c r="C98" s="3" t="s">
        <v>29</v>
      </c>
      <c r="D98" s="2" t="str">
        <f t="shared" si="2"/>
        <v>Ciudad De Mexico</v>
      </c>
      <c r="E98" s="2" t="s">
        <v>252</v>
      </c>
      <c r="F98" s="2" t="str">
        <f>IFERROR(__xludf.DUMMYFUNCTION("SPLIT(E98, ""-"")"),"Auriculares")</f>
        <v>Auriculares</v>
      </c>
      <c r="G98" s="2" t="str">
        <f>IFERROR(__xludf.DUMMYFUNCTION("""COMPUTED_VALUE"""),"Bluetooth")</f>
        <v>Bluetooth</v>
      </c>
      <c r="H98" s="2" t="str">
        <f>IFERROR(__xludf.DUMMYFUNCTION("""COMPUTED_VALUE"""),"8GB")</f>
        <v>8GB</v>
      </c>
      <c r="I98" s="17">
        <v>798.65</v>
      </c>
      <c r="J98" s="6">
        <v>1.0</v>
      </c>
      <c r="K98" s="17">
        <v>798.65</v>
      </c>
      <c r="L98" s="2" t="s">
        <v>348</v>
      </c>
      <c r="M98" s="2" t="s">
        <v>349</v>
      </c>
      <c r="N98" s="2" t="s">
        <v>350</v>
      </c>
    </row>
    <row r="99" ht="15.75" customHeight="1">
      <c r="A99" s="18">
        <v>45582.0</v>
      </c>
      <c r="B99" s="16" t="str">
        <f t="shared" si="1"/>
        <v>October</v>
      </c>
      <c r="C99" s="2" t="s">
        <v>9</v>
      </c>
      <c r="D99" s="2" t="str">
        <f t="shared" si="2"/>
        <v>Monterrey</v>
      </c>
      <c r="E99" s="2" t="s">
        <v>83</v>
      </c>
      <c r="F99" s="2" t="str">
        <f>IFERROR(__xludf.DUMMYFUNCTION("SPLIT(E99, ""-"")"),"Teléfono")</f>
        <v>Teléfono</v>
      </c>
      <c r="G99" s="2" t="str">
        <f>IFERROR(__xludf.DUMMYFUNCTION("""COMPUTED_VALUE"""),"Gama media")</f>
        <v>Gama media</v>
      </c>
      <c r="H99" s="2" t="str">
        <f>IFERROR(__xludf.DUMMYFUNCTION("""COMPUTED_VALUE"""),"32GB")</f>
        <v>32GB</v>
      </c>
      <c r="I99" s="17">
        <v>1937.4</v>
      </c>
      <c r="J99" s="6">
        <v>2.0</v>
      </c>
      <c r="K99" s="17">
        <v>3874.8</v>
      </c>
      <c r="L99" s="2" t="s">
        <v>351</v>
      </c>
      <c r="M99" s="2" t="s">
        <v>352</v>
      </c>
      <c r="N99" s="2" t="s">
        <v>353</v>
      </c>
    </row>
    <row r="100" ht="15.75" customHeight="1">
      <c r="A100" s="18">
        <v>45582.0</v>
      </c>
      <c r="B100" s="16" t="str">
        <f t="shared" si="1"/>
        <v>October</v>
      </c>
      <c r="C100" s="2" t="s">
        <v>34</v>
      </c>
      <c r="D100" s="2" t="str">
        <f t="shared" si="2"/>
        <v>Medellín</v>
      </c>
      <c r="E100" s="2" t="s">
        <v>161</v>
      </c>
      <c r="F100" s="2" t="str">
        <f>IFERROR(__xludf.DUMMYFUNCTION("SPLIT(E100, ""-"")"),"Laptop")</f>
        <v>Laptop</v>
      </c>
      <c r="G100" s="2" t="str">
        <f>IFERROR(__xludf.DUMMYFUNCTION("""COMPUTED_VALUE"""),"Oficina")</f>
        <v>Oficina</v>
      </c>
      <c r="H100" s="2" t="str">
        <f>IFERROR(__xludf.DUMMYFUNCTION("""COMPUTED_VALUE"""),"32GB")</f>
        <v>32GB</v>
      </c>
      <c r="I100" s="17">
        <v>1866.74</v>
      </c>
      <c r="J100" s="6">
        <v>4.0</v>
      </c>
      <c r="K100" s="17">
        <v>7466.96</v>
      </c>
      <c r="L100" s="2" t="s">
        <v>354</v>
      </c>
      <c r="M100" s="2" t="s">
        <v>355</v>
      </c>
      <c r="N100" s="2" t="s">
        <v>356</v>
      </c>
    </row>
    <row r="101" ht="15.75" customHeight="1">
      <c r="A101" s="18">
        <v>45582.0</v>
      </c>
      <c r="B101" s="16" t="str">
        <f t="shared" si="1"/>
        <v>October</v>
      </c>
      <c r="C101" s="3" t="s">
        <v>29</v>
      </c>
      <c r="D101" s="2" t="str">
        <f t="shared" si="2"/>
        <v>Ciudad De Mexico</v>
      </c>
      <c r="E101" s="2" t="s">
        <v>137</v>
      </c>
      <c r="F101" s="2" t="str">
        <f>IFERROR(__xludf.DUMMYFUNCTION("SPLIT(E101, ""-"")"),"Auriculares")</f>
        <v>Auriculares</v>
      </c>
      <c r="G101" s="2" t="str">
        <f>IFERROR(__xludf.DUMMYFUNCTION("""COMPUTED_VALUE"""),"Con cable")</f>
        <v>Con cable</v>
      </c>
      <c r="H101" s="2" t="str">
        <f>IFERROR(__xludf.DUMMYFUNCTION("""COMPUTED_VALUE"""),"16GB")</f>
        <v>16GB</v>
      </c>
      <c r="I101" s="17">
        <v>1093.69</v>
      </c>
      <c r="J101" s="6">
        <v>1.0</v>
      </c>
      <c r="K101" s="17">
        <v>1093.69</v>
      </c>
      <c r="L101" s="2" t="s">
        <v>357</v>
      </c>
      <c r="M101" s="2" t="s">
        <v>358</v>
      </c>
      <c r="N101" s="8" t="s">
        <v>359</v>
      </c>
    </row>
    <row r="102" ht="15.75" customHeight="1">
      <c r="A102" s="18">
        <v>45582.0</v>
      </c>
      <c r="B102" s="16" t="str">
        <f t="shared" si="1"/>
        <v>October</v>
      </c>
      <c r="C102" s="2" t="s">
        <v>9</v>
      </c>
      <c r="D102" s="2" t="str">
        <f t="shared" si="2"/>
        <v>Monterrey</v>
      </c>
      <c r="E102" s="19" t="s">
        <v>115</v>
      </c>
      <c r="F102" s="2" t="str">
        <f>IFERROR(__xludf.DUMMYFUNCTION("SPLIT(E102, ""-"")"),"Teléfono")</f>
        <v>Teléfono</v>
      </c>
      <c r="G102" s="2" t="str">
        <f>IFERROR(__xludf.DUMMYFUNCTION("""COMPUTED_VALUE"""),"Gama baja")</f>
        <v>Gama baja</v>
      </c>
      <c r="H102" s="2" t="str">
        <f>IFERROR(__xludf.DUMMYFUNCTION("""COMPUTED_VALUE"""),"16GB")</f>
        <v>16GB</v>
      </c>
      <c r="I102" s="17">
        <v>2063.13</v>
      </c>
      <c r="J102" s="6">
        <v>4.0</v>
      </c>
      <c r="K102" s="17">
        <v>8252.52</v>
      </c>
      <c r="L102" s="2" t="s">
        <v>360</v>
      </c>
      <c r="M102" s="2" t="s">
        <v>361</v>
      </c>
      <c r="N102" s="2" t="s">
        <v>362</v>
      </c>
    </row>
    <row r="103" ht="15.75" customHeight="1">
      <c r="A103" s="18">
        <v>45582.0</v>
      </c>
      <c r="B103" s="16" t="str">
        <f t="shared" si="1"/>
        <v>October</v>
      </c>
      <c r="C103" s="2" t="s">
        <v>74</v>
      </c>
      <c r="D103" s="2" t="str">
        <f t="shared" si="2"/>
        <v>Cali</v>
      </c>
      <c r="E103" s="21" t="s">
        <v>2340</v>
      </c>
      <c r="F103" s="2" t="str">
        <f>IFERROR(__xludf.DUMMYFUNCTION("SPLIT(E103, ""-"")"),"Teléfono")</f>
        <v>Teléfono</v>
      </c>
      <c r="G103" s="2" t="str">
        <f>IFERROR(__xludf.DUMMYFUNCTION("""COMPUTED_VALUE"""),"Gama media")</f>
        <v>Gama media</v>
      </c>
      <c r="H103" s="2" t="str">
        <f>IFERROR(__xludf.DUMMYFUNCTION("""COMPUTED_VALUE"""),"8GB")</f>
        <v>8GB</v>
      </c>
      <c r="I103" s="17">
        <v>1091.59</v>
      </c>
      <c r="J103" s="6">
        <v>5.0</v>
      </c>
      <c r="K103" s="17">
        <v>5457.95</v>
      </c>
      <c r="L103" s="2" t="s">
        <v>363</v>
      </c>
      <c r="M103" s="2" t="s">
        <v>364</v>
      </c>
      <c r="N103" s="2" t="s">
        <v>365</v>
      </c>
    </row>
    <row r="104" ht="15.75" customHeight="1">
      <c r="A104" s="18">
        <v>45582.0</v>
      </c>
      <c r="B104" s="16" t="str">
        <f t="shared" si="1"/>
        <v>October</v>
      </c>
      <c r="C104" s="2" t="s">
        <v>14</v>
      </c>
      <c r="D104" s="2" t="str">
        <f t="shared" si="2"/>
        <v>Bogotá</v>
      </c>
      <c r="E104" s="2" t="s">
        <v>366</v>
      </c>
      <c r="F104" s="2" t="str">
        <f>IFERROR(__xludf.DUMMYFUNCTION("SPLIT(E104, ""-"")"),"Auriculares")</f>
        <v>Auriculares</v>
      </c>
      <c r="G104" s="2" t="str">
        <f>IFERROR(__xludf.DUMMYFUNCTION("""COMPUTED_VALUE"""),"Con cable")</f>
        <v>Con cable</v>
      </c>
      <c r="H104" s="2" t="str">
        <f>IFERROR(__xludf.DUMMYFUNCTION("""COMPUTED_VALUE"""),"4GB")</f>
        <v>4GB</v>
      </c>
      <c r="I104" s="17">
        <v>271.81</v>
      </c>
      <c r="J104" s="6">
        <v>2.0</v>
      </c>
      <c r="K104" s="20">
        <f>I104*J104</f>
        <v>543.62</v>
      </c>
      <c r="L104" s="2" t="s">
        <v>367</v>
      </c>
      <c r="M104" s="2" t="s">
        <v>368</v>
      </c>
      <c r="N104" s="2" t="s">
        <v>369</v>
      </c>
    </row>
    <row r="105" ht="15.75" customHeight="1">
      <c r="A105" s="18">
        <v>45582.0</v>
      </c>
      <c r="B105" s="16" t="str">
        <f t="shared" si="1"/>
        <v>October</v>
      </c>
      <c r="C105" s="3" t="s">
        <v>29</v>
      </c>
      <c r="D105" s="2" t="str">
        <f t="shared" si="2"/>
        <v>Ciudad De Mexico</v>
      </c>
      <c r="E105" s="2" t="s">
        <v>370</v>
      </c>
      <c r="F105" s="2" t="str">
        <f>IFERROR(__xludf.DUMMYFUNCTION("SPLIT(E105, ""-"")"),"Teléfono")</f>
        <v>Teléfono</v>
      </c>
      <c r="G105" s="2" t="str">
        <f>IFERROR(__xludf.DUMMYFUNCTION("""COMPUTED_VALUE"""),"Gama media")</f>
        <v>Gama media</v>
      </c>
      <c r="H105" s="2" t="str">
        <f>IFERROR(__xludf.DUMMYFUNCTION("""COMPUTED_VALUE"""),"16GB")</f>
        <v>16GB</v>
      </c>
      <c r="I105" s="17">
        <v>2392.27</v>
      </c>
      <c r="J105" s="6">
        <v>4.0</v>
      </c>
      <c r="K105" s="17">
        <v>9569.08</v>
      </c>
      <c r="L105" s="2" t="s">
        <v>371</v>
      </c>
      <c r="M105" s="2" t="s">
        <v>372</v>
      </c>
      <c r="N105" s="2" t="s">
        <v>373</v>
      </c>
    </row>
    <row r="106" ht="15.75" customHeight="1">
      <c r="A106" s="18">
        <v>45582.0</v>
      </c>
      <c r="B106" s="16" t="str">
        <f t="shared" si="1"/>
        <v>October</v>
      </c>
      <c r="C106" s="2" t="s">
        <v>57</v>
      </c>
      <c r="D106" s="2" t="str">
        <f t="shared" si="2"/>
        <v>Guadalajara</v>
      </c>
      <c r="E106" s="2" t="s">
        <v>169</v>
      </c>
      <c r="F106" s="2" t="str">
        <f>IFERROR(__xludf.DUMMYFUNCTION("SPLIT(E106, ""-"")"),"Teléfono")</f>
        <v>Teléfono</v>
      </c>
      <c r="G106" s="2" t="str">
        <f>IFERROR(__xludf.DUMMYFUNCTION("""COMPUTED_VALUE"""),"Gama baja")</f>
        <v>Gama baja</v>
      </c>
      <c r="H106" s="2" t="str">
        <f>IFERROR(__xludf.DUMMYFUNCTION("""COMPUTED_VALUE"""),"4GB")</f>
        <v>4GB</v>
      </c>
      <c r="I106" s="17">
        <v>2411.28</v>
      </c>
      <c r="J106" s="6">
        <v>4.0</v>
      </c>
      <c r="K106" s="17">
        <v>9645.12</v>
      </c>
      <c r="L106" s="2" t="s">
        <v>374</v>
      </c>
      <c r="M106" s="2" t="s">
        <v>375</v>
      </c>
      <c r="N106" s="2" t="s">
        <v>376</v>
      </c>
    </row>
    <row r="107" ht="15.75" customHeight="1">
      <c r="A107" s="18">
        <v>45582.0</v>
      </c>
      <c r="B107" s="16" t="str">
        <f t="shared" si="1"/>
        <v>October</v>
      </c>
      <c r="C107" s="3" t="s">
        <v>29</v>
      </c>
      <c r="D107" s="2" t="str">
        <f t="shared" si="2"/>
        <v>Ciudad De Mexico</v>
      </c>
      <c r="E107" s="2" t="s">
        <v>53</v>
      </c>
      <c r="F107" s="2" t="str">
        <f>IFERROR(__xludf.DUMMYFUNCTION("SPLIT(E107, ""-"")"),"Laptop")</f>
        <v>Laptop</v>
      </c>
      <c r="G107" s="2" t="str">
        <f>IFERROR(__xludf.DUMMYFUNCTION("""COMPUTED_VALUE"""),"Oficina")</f>
        <v>Oficina</v>
      </c>
      <c r="H107" s="2" t="str">
        <f>IFERROR(__xludf.DUMMYFUNCTION("""COMPUTED_VALUE"""),"8GB")</f>
        <v>8GB</v>
      </c>
      <c r="I107" s="17">
        <v>303.84</v>
      </c>
      <c r="J107" s="6">
        <v>1.0</v>
      </c>
      <c r="K107" s="17">
        <v>303.84</v>
      </c>
      <c r="L107" s="2" t="s">
        <v>377</v>
      </c>
      <c r="M107" s="2" t="s">
        <v>378</v>
      </c>
      <c r="N107" s="2" t="s">
        <v>379</v>
      </c>
    </row>
    <row r="108" ht="15.75" customHeight="1">
      <c r="A108" s="18">
        <v>45582.0</v>
      </c>
      <c r="B108" s="16" t="str">
        <f t="shared" si="1"/>
        <v>October</v>
      </c>
      <c r="C108" s="2" t="s">
        <v>74</v>
      </c>
      <c r="D108" s="2" t="str">
        <f t="shared" si="2"/>
        <v>Cali</v>
      </c>
      <c r="E108" s="2" t="s">
        <v>316</v>
      </c>
      <c r="F108" s="2" t="str">
        <f>IFERROR(__xludf.DUMMYFUNCTION("SPLIT(E108, ""-"")"),"Tablet")</f>
        <v>Tablet</v>
      </c>
      <c r="G108" s="2" t="str">
        <f>IFERROR(__xludf.DUMMYFUNCTION("""COMPUTED_VALUE"""),"Pro")</f>
        <v>Pro</v>
      </c>
      <c r="H108" s="2" t="str">
        <f>IFERROR(__xludf.DUMMYFUNCTION("""COMPUTED_VALUE"""),"32GB")</f>
        <v>32GB</v>
      </c>
      <c r="I108" s="17">
        <v>228.78</v>
      </c>
      <c r="J108" s="6">
        <v>1.0</v>
      </c>
      <c r="K108" s="17">
        <v>228.78</v>
      </c>
      <c r="L108" s="2" t="s">
        <v>380</v>
      </c>
      <c r="M108" s="2" t="s">
        <v>381</v>
      </c>
      <c r="N108" s="2" t="s">
        <v>382</v>
      </c>
    </row>
    <row r="109" ht="15.75" customHeight="1">
      <c r="A109" s="18">
        <v>45583.0</v>
      </c>
      <c r="B109" s="16" t="str">
        <f t="shared" si="1"/>
        <v>October</v>
      </c>
      <c r="C109" s="2" t="s">
        <v>9</v>
      </c>
      <c r="D109" s="2" t="str">
        <f t="shared" si="2"/>
        <v>Monterrey</v>
      </c>
      <c r="E109" s="2" t="s">
        <v>58</v>
      </c>
      <c r="F109" s="2" t="str">
        <f>IFERROR(__xludf.DUMMYFUNCTION("SPLIT(E109, ""-"")"),"Auriculares")</f>
        <v>Auriculares</v>
      </c>
      <c r="G109" s="2" t="str">
        <f>IFERROR(__xludf.DUMMYFUNCTION("""COMPUTED_VALUE"""),"Bluetooth")</f>
        <v>Bluetooth</v>
      </c>
      <c r="H109" s="2" t="str">
        <f>IFERROR(__xludf.DUMMYFUNCTION("""COMPUTED_VALUE"""),"4GB")</f>
        <v>4GB</v>
      </c>
      <c r="I109" s="17">
        <v>721.04</v>
      </c>
      <c r="J109" s="6">
        <v>4.0</v>
      </c>
      <c r="K109" s="17">
        <v>2884.16</v>
      </c>
      <c r="L109" s="2" t="s">
        <v>383</v>
      </c>
      <c r="M109" s="2" t="s">
        <v>384</v>
      </c>
      <c r="N109" s="2" t="s">
        <v>385</v>
      </c>
    </row>
    <row r="110" ht="15.75" customHeight="1">
      <c r="A110" s="18">
        <v>45583.0</v>
      </c>
      <c r="B110" s="16" t="str">
        <f t="shared" si="1"/>
        <v>October</v>
      </c>
      <c r="C110" s="2" t="s">
        <v>74</v>
      </c>
      <c r="D110" s="2" t="str">
        <f t="shared" si="2"/>
        <v>Cali</v>
      </c>
      <c r="E110" s="2" t="s">
        <v>386</v>
      </c>
      <c r="F110" s="2" t="str">
        <f>IFERROR(__xludf.DUMMYFUNCTION("SPLIT(E110, ""-"")"),"Auriculares")</f>
        <v>Auriculares</v>
      </c>
      <c r="G110" s="2" t="str">
        <f>IFERROR(__xludf.DUMMYFUNCTION("""COMPUTED_VALUE"""),"Cancelación de ruido")</f>
        <v>Cancelación de ruido</v>
      </c>
      <c r="H110" s="2" t="str">
        <f>IFERROR(__xludf.DUMMYFUNCTION("""COMPUTED_VALUE"""),"4GB")</f>
        <v>4GB</v>
      </c>
      <c r="I110" s="17">
        <v>594.52</v>
      </c>
      <c r="J110" s="6">
        <v>2.0</v>
      </c>
      <c r="K110" s="17">
        <v>1189.04</v>
      </c>
      <c r="L110" s="2" t="s">
        <v>387</v>
      </c>
      <c r="M110" s="2" t="s">
        <v>388</v>
      </c>
      <c r="N110" s="2" t="s">
        <v>389</v>
      </c>
    </row>
    <row r="111" ht="15.75" customHeight="1">
      <c r="A111" s="18">
        <v>45583.0</v>
      </c>
      <c r="B111" s="16" t="str">
        <f t="shared" si="1"/>
        <v>October</v>
      </c>
      <c r="C111" s="2" t="s">
        <v>9</v>
      </c>
      <c r="D111" s="2" t="str">
        <f t="shared" si="2"/>
        <v>Monterrey</v>
      </c>
      <c r="E111" s="2" t="s">
        <v>341</v>
      </c>
      <c r="F111" s="2" t="str">
        <f>IFERROR(__xludf.DUMMYFUNCTION("SPLIT(E111, ""-"")"),"Laptop")</f>
        <v>Laptop</v>
      </c>
      <c r="G111" s="2" t="str">
        <f>IFERROR(__xludf.DUMMYFUNCTION("""COMPUTED_VALUE"""),"Ultraliviana")</f>
        <v>Ultraliviana</v>
      </c>
      <c r="H111" s="2" t="str">
        <f>IFERROR(__xludf.DUMMYFUNCTION("""COMPUTED_VALUE"""),"8GB")</f>
        <v>8GB</v>
      </c>
      <c r="I111" s="17">
        <v>1612.96</v>
      </c>
      <c r="J111" s="6">
        <v>1.0</v>
      </c>
      <c r="K111" s="17">
        <v>1612.96</v>
      </c>
      <c r="L111" s="2" t="s">
        <v>390</v>
      </c>
      <c r="M111" s="2" t="s">
        <v>391</v>
      </c>
      <c r="N111" s="2" t="s">
        <v>392</v>
      </c>
    </row>
    <row r="112" ht="15.75" customHeight="1">
      <c r="A112" s="18">
        <v>45583.0</v>
      </c>
      <c r="B112" s="16" t="str">
        <f t="shared" si="1"/>
        <v>October</v>
      </c>
      <c r="C112" s="2" t="s">
        <v>14</v>
      </c>
      <c r="D112" s="2" t="str">
        <f t="shared" si="2"/>
        <v>Bogotá</v>
      </c>
      <c r="E112" s="2" t="s">
        <v>289</v>
      </c>
      <c r="F112" s="2" t="str">
        <f>IFERROR(__xludf.DUMMYFUNCTION("SPLIT(E112, ""-"")"),"Teléfono")</f>
        <v>Teléfono</v>
      </c>
      <c r="G112" s="2" t="str">
        <f>IFERROR(__xludf.DUMMYFUNCTION("""COMPUTED_VALUE"""),"Gama alta")</f>
        <v>Gama alta</v>
      </c>
      <c r="H112" s="2" t="str">
        <f>IFERROR(__xludf.DUMMYFUNCTION("""COMPUTED_VALUE"""),"16GB")</f>
        <v>16GB</v>
      </c>
      <c r="I112" s="17">
        <v>169.21</v>
      </c>
      <c r="J112" s="6">
        <v>3.0</v>
      </c>
      <c r="K112" s="17">
        <v>507.63</v>
      </c>
      <c r="L112" s="2" t="s">
        <v>393</v>
      </c>
      <c r="M112" s="2" t="s">
        <v>394</v>
      </c>
      <c r="N112" s="2" t="s">
        <v>395</v>
      </c>
    </row>
    <row r="113" ht="15.75" customHeight="1">
      <c r="A113" s="18">
        <v>45583.0</v>
      </c>
      <c r="B113" s="16" t="str">
        <f t="shared" si="1"/>
        <v>October</v>
      </c>
      <c r="C113" s="2" t="s">
        <v>14</v>
      </c>
      <c r="D113" s="2" t="str">
        <f t="shared" si="2"/>
        <v>Bogotá</v>
      </c>
      <c r="E113" s="2" t="s">
        <v>396</v>
      </c>
      <c r="F113" s="2" t="str">
        <f>IFERROR(__xludf.DUMMYFUNCTION("SPLIT(E113, ""-"")"),"Laptop")</f>
        <v>Laptop</v>
      </c>
      <c r="G113" s="2" t="str">
        <f>IFERROR(__xludf.DUMMYFUNCTION("""COMPUTED_VALUE"""),"Gaming")</f>
        <v>Gaming</v>
      </c>
      <c r="H113" s="2" t="str">
        <f>IFERROR(__xludf.DUMMYFUNCTION("""COMPUTED_VALUE"""),"4GB")</f>
        <v>4GB</v>
      </c>
      <c r="I113" s="17">
        <v>709.65</v>
      </c>
      <c r="J113" s="6">
        <v>3.0</v>
      </c>
      <c r="K113" s="17">
        <v>2128.95</v>
      </c>
      <c r="L113" s="2" t="s">
        <v>397</v>
      </c>
      <c r="M113" s="2" t="s">
        <v>398</v>
      </c>
      <c r="N113" s="2" t="s">
        <v>399</v>
      </c>
    </row>
    <row r="114" ht="15.75" customHeight="1">
      <c r="A114" s="18">
        <v>45583.0</v>
      </c>
      <c r="B114" s="16" t="str">
        <f t="shared" si="1"/>
        <v>October</v>
      </c>
      <c r="C114" s="2" t="s">
        <v>14</v>
      </c>
      <c r="D114" s="2" t="str">
        <f t="shared" si="2"/>
        <v>Bogotá</v>
      </c>
      <c r="E114" s="2" t="s">
        <v>161</v>
      </c>
      <c r="F114" s="2" t="str">
        <f>IFERROR(__xludf.DUMMYFUNCTION("SPLIT(E114, ""-"")"),"Laptop")</f>
        <v>Laptop</v>
      </c>
      <c r="G114" s="2" t="str">
        <f>IFERROR(__xludf.DUMMYFUNCTION("""COMPUTED_VALUE"""),"Oficina")</f>
        <v>Oficina</v>
      </c>
      <c r="H114" s="2" t="str">
        <f>IFERROR(__xludf.DUMMYFUNCTION("""COMPUTED_VALUE"""),"32GB")</f>
        <v>32GB</v>
      </c>
      <c r="I114" s="17">
        <v>1750.63</v>
      </c>
      <c r="J114" s="6">
        <v>5.0</v>
      </c>
      <c r="K114" s="17">
        <v>8753.15</v>
      </c>
      <c r="L114" s="2" t="s">
        <v>400</v>
      </c>
      <c r="M114" s="2" t="s">
        <v>401</v>
      </c>
      <c r="N114" s="2" t="s">
        <v>402</v>
      </c>
    </row>
    <row r="115" ht="15.75" customHeight="1">
      <c r="A115" s="18">
        <v>45583.0</v>
      </c>
      <c r="B115" s="16" t="str">
        <f t="shared" si="1"/>
        <v>October</v>
      </c>
      <c r="C115" s="2" t="s">
        <v>57</v>
      </c>
      <c r="D115" s="2" t="str">
        <f t="shared" si="2"/>
        <v>Guadalajara</v>
      </c>
      <c r="E115" s="2" t="s">
        <v>83</v>
      </c>
      <c r="F115" s="2" t="str">
        <f>IFERROR(__xludf.DUMMYFUNCTION("SPLIT(E115, ""-"")"),"Teléfono")</f>
        <v>Teléfono</v>
      </c>
      <c r="G115" s="2" t="str">
        <f>IFERROR(__xludf.DUMMYFUNCTION("""COMPUTED_VALUE"""),"Gama media")</f>
        <v>Gama media</v>
      </c>
      <c r="H115" s="2" t="str">
        <f>IFERROR(__xludf.DUMMYFUNCTION("""COMPUTED_VALUE"""),"32GB")</f>
        <v>32GB</v>
      </c>
      <c r="I115" s="20">
        <f>K115/J115</f>
        <v>1564.96</v>
      </c>
      <c r="J115" s="6">
        <v>4.0</v>
      </c>
      <c r="K115" s="17">
        <v>6259.84</v>
      </c>
      <c r="L115" s="2" t="s">
        <v>403</v>
      </c>
      <c r="M115" s="2" t="s">
        <v>404</v>
      </c>
      <c r="N115" s="2" t="s">
        <v>405</v>
      </c>
    </row>
    <row r="116" ht="15.75" customHeight="1">
      <c r="A116" s="18">
        <v>45583.0</v>
      </c>
      <c r="B116" s="16" t="str">
        <f t="shared" si="1"/>
        <v>October</v>
      </c>
      <c r="C116" s="2" t="s">
        <v>34</v>
      </c>
      <c r="D116" s="2" t="str">
        <f t="shared" si="2"/>
        <v>Medellín</v>
      </c>
      <c r="E116" s="2" t="s">
        <v>66</v>
      </c>
      <c r="F116" s="2" t="str">
        <f>IFERROR(__xludf.DUMMYFUNCTION("SPLIT(E116, ""-"")"),"Tablet")</f>
        <v>Tablet</v>
      </c>
      <c r="G116" s="2" t="str">
        <f>IFERROR(__xludf.DUMMYFUNCTION("""COMPUTED_VALUE"""),"Estándar")</f>
        <v>Estándar</v>
      </c>
      <c r="H116" s="2" t="str">
        <f>IFERROR(__xludf.DUMMYFUNCTION("""COMPUTED_VALUE"""),"4GB")</f>
        <v>4GB</v>
      </c>
      <c r="I116" s="17">
        <v>1972.43</v>
      </c>
      <c r="J116" s="6">
        <v>5.0</v>
      </c>
      <c r="K116" s="17">
        <v>9862.15</v>
      </c>
      <c r="L116" s="2" t="s">
        <v>406</v>
      </c>
      <c r="M116" s="2" t="s">
        <v>407</v>
      </c>
      <c r="N116" s="2" t="s">
        <v>408</v>
      </c>
    </row>
    <row r="117" ht="15.75" customHeight="1">
      <c r="A117" s="18">
        <v>45583.0</v>
      </c>
      <c r="B117" s="16" t="str">
        <f t="shared" si="1"/>
        <v>October</v>
      </c>
      <c r="C117" s="3" t="s">
        <v>29</v>
      </c>
      <c r="D117" s="2" t="str">
        <f t="shared" si="2"/>
        <v>Ciudad De Mexico</v>
      </c>
      <c r="E117" s="2" t="s">
        <v>10</v>
      </c>
      <c r="F117" s="2" t="str">
        <f>IFERROR(__xludf.DUMMYFUNCTION("SPLIT(E117, ""-"")"),"Tablet")</f>
        <v>Tablet</v>
      </c>
      <c r="G117" s="2" t="str">
        <f>IFERROR(__xludf.DUMMYFUNCTION("""COMPUTED_VALUE"""),"Estándar")</f>
        <v>Estándar</v>
      </c>
      <c r="H117" s="2" t="str">
        <f>IFERROR(__xludf.DUMMYFUNCTION("""COMPUTED_VALUE"""),"8GB")</f>
        <v>8GB</v>
      </c>
      <c r="I117" s="17">
        <v>2431.8</v>
      </c>
      <c r="J117" s="6">
        <v>2.0</v>
      </c>
      <c r="K117" s="17">
        <v>4863.6</v>
      </c>
      <c r="L117" s="2" t="s">
        <v>409</v>
      </c>
      <c r="M117" s="2" t="s">
        <v>410</v>
      </c>
      <c r="N117" s="2" t="s">
        <v>411</v>
      </c>
    </row>
    <row r="118" ht="15.75" customHeight="1">
      <c r="A118" s="18">
        <v>45583.0</v>
      </c>
      <c r="B118" s="16" t="str">
        <f t="shared" si="1"/>
        <v>October</v>
      </c>
      <c r="C118" s="2" t="s">
        <v>57</v>
      </c>
      <c r="D118" s="2" t="str">
        <f t="shared" si="2"/>
        <v>Guadalajara</v>
      </c>
      <c r="E118" s="2" t="s">
        <v>222</v>
      </c>
      <c r="F118" s="2" t="str">
        <f>IFERROR(__xludf.DUMMYFUNCTION("SPLIT(E118, ""-"")"),"Laptop")</f>
        <v>Laptop</v>
      </c>
      <c r="G118" s="2" t="str">
        <f>IFERROR(__xludf.DUMMYFUNCTION("""COMPUTED_VALUE"""),"Gaming")</f>
        <v>Gaming</v>
      </c>
      <c r="H118" s="2" t="str">
        <f>IFERROR(__xludf.DUMMYFUNCTION("""COMPUTED_VALUE"""),"16GB")</f>
        <v>16GB</v>
      </c>
      <c r="I118" s="17">
        <v>904.01</v>
      </c>
      <c r="J118" s="6">
        <v>1.0</v>
      </c>
      <c r="K118" s="17">
        <v>904.01</v>
      </c>
      <c r="L118" s="2" t="s">
        <v>412</v>
      </c>
      <c r="M118" s="2" t="s">
        <v>413</v>
      </c>
      <c r="N118" s="2" t="s">
        <v>414</v>
      </c>
    </row>
    <row r="119" ht="15.75" customHeight="1">
      <c r="A119" s="18">
        <v>45583.0</v>
      </c>
      <c r="B119" s="16" t="str">
        <f t="shared" si="1"/>
        <v>October</v>
      </c>
      <c r="C119" s="2" t="s">
        <v>74</v>
      </c>
      <c r="D119" s="2" t="str">
        <f t="shared" si="2"/>
        <v>Cali</v>
      </c>
      <c r="E119" s="2" t="s">
        <v>308</v>
      </c>
      <c r="F119" s="2" t="str">
        <f>IFERROR(__xludf.DUMMYFUNCTION("SPLIT(E119, ""-"")"),"Laptop")</f>
        <v>Laptop</v>
      </c>
      <c r="G119" s="2" t="str">
        <f>IFERROR(__xludf.DUMMYFUNCTION("""COMPUTED_VALUE"""),"Ultraliviana")</f>
        <v>Ultraliviana</v>
      </c>
      <c r="H119" s="2" t="str">
        <f>IFERROR(__xludf.DUMMYFUNCTION("""COMPUTED_VALUE"""),"32GB")</f>
        <v>32GB</v>
      </c>
      <c r="I119" s="17">
        <v>700.55</v>
      </c>
      <c r="J119" s="6">
        <v>5.0</v>
      </c>
      <c r="K119" s="17">
        <v>3502.75</v>
      </c>
      <c r="L119" s="3" t="s">
        <v>415</v>
      </c>
      <c r="M119" s="2" t="s">
        <v>416</v>
      </c>
      <c r="N119" s="2" t="s">
        <v>417</v>
      </c>
    </row>
    <row r="120" ht="15.75" customHeight="1">
      <c r="A120" s="18">
        <v>45583.0</v>
      </c>
      <c r="B120" s="16" t="str">
        <f t="shared" si="1"/>
        <v>October</v>
      </c>
      <c r="C120" s="2" t="s">
        <v>34</v>
      </c>
      <c r="D120" s="2" t="str">
        <f t="shared" si="2"/>
        <v>Medellín</v>
      </c>
      <c r="E120" s="2" t="s">
        <v>22</v>
      </c>
      <c r="F120" s="2" t="str">
        <f>IFERROR(__xludf.DUMMYFUNCTION("SPLIT(E120, ""-"")"),"Tablet")</f>
        <v>Tablet</v>
      </c>
      <c r="G120" s="2" t="str">
        <f>IFERROR(__xludf.DUMMYFUNCTION("""COMPUTED_VALUE"""),"Estándar")</f>
        <v>Estándar</v>
      </c>
      <c r="H120" s="2" t="str">
        <f>IFERROR(__xludf.DUMMYFUNCTION("""COMPUTED_VALUE"""),"16GB")</f>
        <v>16GB</v>
      </c>
      <c r="I120" s="17">
        <v>1034.4</v>
      </c>
      <c r="J120" s="6">
        <v>1.0</v>
      </c>
      <c r="K120" s="17">
        <v>1034.4</v>
      </c>
      <c r="L120" s="2" t="s">
        <v>418</v>
      </c>
      <c r="M120" s="2" t="s">
        <v>419</v>
      </c>
      <c r="N120" s="2" t="s">
        <v>420</v>
      </c>
    </row>
    <row r="121" ht="15.75" customHeight="1">
      <c r="A121" s="18">
        <v>45584.0</v>
      </c>
      <c r="B121" s="16" t="str">
        <f t="shared" si="1"/>
        <v>October</v>
      </c>
      <c r="C121" s="2" t="s">
        <v>74</v>
      </c>
      <c r="D121" s="2" t="str">
        <f t="shared" si="2"/>
        <v>Cali</v>
      </c>
      <c r="E121" s="2" t="s">
        <v>49</v>
      </c>
      <c r="F121" s="2" t="str">
        <f>IFERROR(__xludf.DUMMYFUNCTION("SPLIT(E121, ""-"")"),"Tablet")</f>
        <v>Tablet</v>
      </c>
      <c r="G121" s="2" t="str">
        <f>IFERROR(__xludf.DUMMYFUNCTION("""COMPUTED_VALUE"""),"Estándar")</f>
        <v>Estándar</v>
      </c>
      <c r="H121" s="2" t="str">
        <f>IFERROR(__xludf.DUMMYFUNCTION("""COMPUTED_VALUE"""),"32GB")</f>
        <v>32GB</v>
      </c>
      <c r="I121" s="17">
        <v>902.5</v>
      </c>
      <c r="J121" s="6">
        <v>3.0</v>
      </c>
      <c r="K121" s="17">
        <v>2707.5</v>
      </c>
      <c r="L121" s="2" t="s">
        <v>421</v>
      </c>
      <c r="M121" s="2" t="s">
        <v>422</v>
      </c>
      <c r="N121" s="2" t="s">
        <v>423</v>
      </c>
    </row>
    <row r="122" ht="15.75" customHeight="1">
      <c r="A122" s="18">
        <v>45584.0</v>
      </c>
      <c r="B122" s="16" t="str">
        <f t="shared" si="1"/>
        <v>October</v>
      </c>
      <c r="C122" s="2" t="s">
        <v>74</v>
      </c>
      <c r="D122" s="2" t="str">
        <f t="shared" si="2"/>
        <v>Cali</v>
      </c>
      <c r="E122" s="2" t="s">
        <v>15</v>
      </c>
      <c r="F122" s="2" t="str">
        <f>IFERROR(__xludf.DUMMYFUNCTION("SPLIT(E122, ""-"")"),"Auriculares")</f>
        <v>Auriculares</v>
      </c>
      <c r="G122" s="2" t="str">
        <f>IFERROR(__xludf.DUMMYFUNCTION("""COMPUTED_VALUE"""),"Con cable")</f>
        <v>Con cable</v>
      </c>
      <c r="H122" s="2" t="str">
        <f>IFERROR(__xludf.DUMMYFUNCTION("""COMPUTED_VALUE"""),"32GB")</f>
        <v>32GB</v>
      </c>
      <c r="I122" s="17">
        <v>713.75</v>
      </c>
      <c r="J122" s="6">
        <v>3.0</v>
      </c>
      <c r="K122" s="17">
        <v>2141.25</v>
      </c>
      <c r="L122" s="2" t="s">
        <v>424</v>
      </c>
      <c r="M122" s="2" t="s">
        <v>425</v>
      </c>
      <c r="N122" s="2" t="s">
        <v>426</v>
      </c>
    </row>
    <row r="123" ht="15.75" customHeight="1">
      <c r="A123" s="18">
        <v>45584.0</v>
      </c>
      <c r="B123" s="16" t="str">
        <f t="shared" si="1"/>
        <v>October</v>
      </c>
      <c r="C123" s="2" t="s">
        <v>9</v>
      </c>
      <c r="D123" s="2" t="str">
        <f t="shared" si="2"/>
        <v>Monterrey</v>
      </c>
      <c r="E123" s="2" t="s">
        <v>427</v>
      </c>
      <c r="F123" s="2" t="str">
        <f>IFERROR(__xludf.DUMMYFUNCTION("SPLIT(E123, ""-"")"),"Teléfono")</f>
        <v>Teléfono</v>
      </c>
      <c r="G123" s="2" t="str">
        <f>IFERROR(__xludf.DUMMYFUNCTION("""COMPUTED_VALUE"""),"Gama alta")</f>
        <v>Gama alta</v>
      </c>
      <c r="H123" s="2" t="str">
        <f>IFERROR(__xludf.DUMMYFUNCTION("""COMPUTED_VALUE"""),"4GB")</f>
        <v>4GB</v>
      </c>
      <c r="I123" s="17">
        <v>2484.74</v>
      </c>
      <c r="J123" s="6">
        <v>5.0</v>
      </c>
      <c r="K123" s="17">
        <v>12423.7</v>
      </c>
      <c r="L123" s="2" t="s">
        <v>428</v>
      </c>
      <c r="M123" s="2" t="s">
        <v>429</v>
      </c>
      <c r="N123" s="2" t="s">
        <v>430</v>
      </c>
    </row>
    <row r="124" ht="15.75" customHeight="1">
      <c r="A124" s="18">
        <v>45584.0</v>
      </c>
      <c r="B124" s="16" t="str">
        <f t="shared" si="1"/>
        <v>October</v>
      </c>
      <c r="C124" s="2" t="s">
        <v>57</v>
      </c>
      <c r="D124" s="2" t="str">
        <f t="shared" si="2"/>
        <v>Guadalajara</v>
      </c>
      <c r="E124" s="2" t="s">
        <v>161</v>
      </c>
      <c r="F124" s="2" t="str">
        <f>IFERROR(__xludf.DUMMYFUNCTION("SPLIT(E124, ""-"")"),"Laptop")</f>
        <v>Laptop</v>
      </c>
      <c r="G124" s="2" t="str">
        <f>IFERROR(__xludf.DUMMYFUNCTION("""COMPUTED_VALUE"""),"Oficina")</f>
        <v>Oficina</v>
      </c>
      <c r="H124" s="2" t="str">
        <f>IFERROR(__xludf.DUMMYFUNCTION("""COMPUTED_VALUE"""),"32GB")</f>
        <v>32GB</v>
      </c>
      <c r="I124" s="17">
        <v>2182.83</v>
      </c>
      <c r="J124" s="6">
        <v>4.0</v>
      </c>
      <c r="K124" s="17">
        <v>8731.32</v>
      </c>
      <c r="L124" s="2" t="s">
        <v>431</v>
      </c>
      <c r="M124" s="2" t="s">
        <v>432</v>
      </c>
      <c r="N124" s="2" t="s">
        <v>433</v>
      </c>
    </row>
    <row r="125" ht="15.75" customHeight="1">
      <c r="A125" s="18">
        <v>45584.0</v>
      </c>
      <c r="B125" s="16" t="str">
        <f t="shared" si="1"/>
        <v>October</v>
      </c>
      <c r="C125" s="2" t="s">
        <v>57</v>
      </c>
      <c r="D125" s="2" t="str">
        <f t="shared" si="2"/>
        <v>Guadalajara</v>
      </c>
      <c r="E125" s="2" t="s">
        <v>427</v>
      </c>
      <c r="F125" s="2" t="str">
        <f>IFERROR(__xludf.DUMMYFUNCTION("SPLIT(E125, ""-"")"),"Teléfono")</f>
        <v>Teléfono</v>
      </c>
      <c r="G125" s="2" t="str">
        <f>IFERROR(__xludf.DUMMYFUNCTION("""COMPUTED_VALUE"""),"Gama alta")</f>
        <v>Gama alta</v>
      </c>
      <c r="H125" s="2" t="str">
        <f>IFERROR(__xludf.DUMMYFUNCTION("""COMPUTED_VALUE"""),"4GB")</f>
        <v>4GB</v>
      </c>
      <c r="I125" s="17">
        <v>2329.03</v>
      </c>
      <c r="J125" s="6">
        <v>4.0</v>
      </c>
      <c r="K125" s="17">
        <v>9316.12</v>
      </c>
      <c r="L125" s="2" t="s">
        <v>434</v>
      </c>
      <c r="M125" s="2" t="s">
        <v>435</v>
      </c>
      <c r="N125" s="2" t="s">
        <v>436</v>
      </c>
    </row>
    <row r="126" ht="15.75" customHeight="1">
      <c r="A126" s="18">
        <v>45584.0</v>
      </c>
      <c r="B126" s="16" t="str">
        <f t="shared" si="1"/>
        <v>October</v>
      </c>
      <c r="C126" s="2" t="s">
        <v>14</v>
      </c>
      <c r="D126" s="2" t="str">
        <f t="shared" si="2"/>
        <v>Bogotá</v>
      </c>
      <c r="E126" s="2" t="s">
        <v>30</v>
      </c>
      <c r="F126" s="2" t="str">
        <f>IFERROR(__xludf.DUMMYFUNCTION("SPLIT(E126, ""-"")"),"Teléfono")</f>
        <v>Teléfono</v>
      </c>
      <c r="G126" s="2" t="str">
        <f>IFERROR(__xludf.DUMMYFUNCTION("""COMPUTED_VALUE"""),"Gama alta")</f>
        <v>Gama alta</v>
      </c>
      <c r="H126" s="2" t="str">
        <f>IFERROR(__xludf.DUMMYFUNCTION("""COMPUTED_VALUE"""),"32GB")</f>
        <v>32GB</v>
      </c>
      <c r="I126" s="17">
        <v>130.05</v>
      </c>
      <c r="J126" s="6">
        <v>1.0</v>
      </c>
      <c r="K126" s="17">
        <v>130.05</v>
      </c>
      <c r="L126" s="2" t="s">
        <v>437</v>
      </c>
      <c r="M126" s="2" t="s">
        <v>438</v>
      </c>
      <c r="N126" s="2" t="s">
        <v>439</v>
      </c>
    </row>
    <row r="127" ht="15.75" customHeight="1">
      <c r="A127" s="18">
        <v>45584.0</v>
      </c>
      <c r="B127" s="16" t="str">
        <f t="shared" si="1"/>
        <v>October</v>
      </c>
      <c r="C127" s="2" t="s">
        <v>57</v>
      </c>
      <c r="D127" s="2" t="str">
        <f t="shared" si="2"/>
        <v>Guadalajara</v>
      </c>
      <c r="E127" s="2" t="s">
        <v>269</v>
      </c>
      <c r="F127" s="2" t="str">
        <f>IFERROR(__xludf.DUMMYFUNCTION("SPLIT(E127, ""-"")"),"Teléfono")</f>
        <v>Teléfono</v>
      </c>
      <c r="G127" s="2" t="str">
        <f>IFERROR(__xludf.DUMMYFUNCTION("""COMPUTED_VALUE"""),"Gama baja")</f>
        <v>Gama baja</v>
      </c>
      <c r="H127" s="2" t="str">
        <f>IFERROR(__xludf.DUMMYFUNCTION("""COMPUTED_VALUE"""),"32GB")</f>
        <v>32GB</v>
      </c>
      <c r="I127" s="17">
        <v>1564.37</v>
      </c>
      <c r="J127" s="6">
        <v>1.0</v>
      </c>
      <c r="K127" s="17">
        <v>1564.37</v>
      </c>
      <c r="L127" s="2" t="s">
        <v>440</v>
      </c>
      <c r="M127" s="2" t="s">
        <v>441</v>
      </c>
      <c r="N127" s="2" t="s">
        <v>442</v>
      </c>
    </row>
    <row r="128" ht="15.75" customHeight="1">
      <c r="A128" s="18">
        <v>45584.0</v>
      </c>
      <c r="B128" s="16" t="str">
        <f t="shared" si="1"/>
        <v>October</v>
      </c>
      <c r="C128" s="2" t="s">
        <v>74</v>
      </c>
      <c r="D128" s="2" t="str">
        <f t="shared" si="2"/>
        <v>Cali</v>
      </c>
      <c r="E128" s="2" t="s">
        <v>15</v>
      </c>
      <c r="F128" s="2" t="str">
        <f>IFERROR(__xludf.DUMMYFUNCTION("SPLIT(E128, ""-"")"),"Auriculares")</f>
        <v>Auriculares</v>
      </c>
      <c r="G128" s="2" t="str">
        <f>IFERROR(__xludf.DUMMYFUNCTION("""COMPUTED_VALUE"""),"Con cable")</f>
        <v>Con cable</v>
      </c>
      <c r="H128" s="2" t="str">
        <f>IFERROR(__xludf.DUMMYFUNCTION("""COMPUTED_VALUE"""),"32GB")</f>
        <v>32GB</v>
      </c>
      <c r="I128" s="17">
        <v>2317.94</v>
      </c>
      <c r="J128" s="6">
        <v>4.0</v>
      </c>
      <c r="K128" s="17">
        <v>9271.76</v>
      </c>
      <c r="L128" s="2" t="s">
        <v>443</v>
      </c>
      <c r="M128" s="2" t="s">
        <v>444</v>
      </c>
      <c r="N128" s="2" t="s">
        <v>445</v>
      </c>
    </row>
    <row r="129" ht="15.75" customHeight="1">
      <c r="A129" s="18">
        <v>45584.0</v>
      </c>
      <c r="B129" s="16" t="str">
        <f t="shared" si="1"/>
        <v>October</v>
      </c>
      <c r="C129" s="2" t="s">
        <v>14</v>
      </c>
      <c r="D129" s="2" t="str">
        <f t="shared" si="2"/>
        <v>Bogotá</v>
      </c>
      <c r="E129" s="2" t="s">
        <v>222</v>
      </c>
      <c r="F129" s="2" t="str">
        <f>IFERROR(__xludf.DUMMYFUNCTION("SPLIT(E129, ""-"")"),"Laptop")</f>
        <v>Laptop</v>
      </c>
      <c r="G129" s="2" t="str">
        <f>IFERROR(__xludf.DUMMYFUNCTION("""COMPUTED_VALUE"""),"Gaming")</f>
        <v>Gaming</v>
      </c>
      <c r="H129" s="2" t="str">
        <f>IFERROR(__xludf.DUMMYFUNCTION("""COMPUTED_VALUE"""),"16GB")</f>
        <v>16GB</v>
      </c>
      <c r="I129" s="17">
        <v>722.95</v>
      </c>
      <c r="J129" s="6">
        <v>3.0</v>
      </c>
      <c r="K129" s="17">
        <v>2168.85</v>
      </c>
      <c r="L129" s="2" t="s">
        <v>446</v>
      </c>
      <c r="M129" s="2" t="s">
        <v>447</v>
      </c>
      <c r="N129" s="2" t="s">
        <v>448</v>
      </c>
    </row>
    <row r="130" ht="15.75" customHeight="1">
      <c r="A130" s="18">
        <v>45584.0</v>
      </c>
      <c r="B130" s="16" t="str">
        <f t="shared" si="1"/>
        <v>October</v>
      </c>
      <c r="C130" s="3" t="s">
        <v>29</v>
      </c>
      <c r="D130" s="2" t="str">
        <f t="shared" si="2"/>
        <v>Ciudad De Mexico</v>
      </c>
      <c r="E130" s="2" t="s">
        <v>165</v>
      </c>
      <c r="F130" s="2" t="str">
        <f>IFERROR(__xludf.DUMMYFUNCTION("SPLIT(E130, ""-"")"),"Auriculares")</f>
        <v>Auriculares</v>
      </c>
      <c r="G130" s="2" t="str">
        <f>IFERROR(__xludf.DUMMYFUNCTION("""COMPUTED_VALUE"""),"Bluetooth")</f>
        <v>Bluetooth</v>
      </c>
      <c r="H130" s="2" t="str">
        <f>IFERROR(__xludf.DUMMYFUNCTION("""COMPUTED_VALUE"""),"32GB")</f>
        <v>32GB</v>
      </c>
      <c r="I130" s="17">
        <v>242.27</v>
      </c>
      <c r="J130" s="6">
        <v>1.0</v>
      </c>
      <c r="K130" s="17">
        <v>242.27</v>
      </c>
      <c r="L130" s="2" t="s">
        <v>449</v>
      </c>
      <c r="M130" s="2" t="s">
        <v>450</v>
      </c>
      <c r="N130" s="2" t="s">
        <v>451</v>
      </c>
    </row>
    <row r="131" ht="15.75" customHeight="1">
      <c r="A131" s="18">
        <v>45584.0</v>
      </c>
      <c r="B131" s="16" t="str">
        <f t="shared" si="1"/>
        <v>October</v>
      </c>
      <c r="C131" s="2" t="s">
        <v>57</v>
      </c>
      <c r="D131" s="2" t="str">
        <f t="shared" si="2"/>
        <v>Guadalajara</v>
      </c>
      <c r="E131" s="2" t="s">
        <v>35</v>
      </c>
      <c r="F131" s="2" t="str">
        <f>IFERROR(__xludf.DUMMYFUNCTION("SPLIT(E131, ""-"")"),"Tablet")</f>
        <v>Tablet</v>
      </c>
      <c r="G131" s="2" t="str">
        <f>IFERROR(__xludf.DUMMYFUNCTION("""COMPUTED_VALUE"""),"Pro")</f>
        <v>Pro</v>
      </c>
      <c r="H131" s="2" t="str">
        <f>IFERROR(__xludf.DUMMYFUNCTION("""COMPUTED_VALUE"""),"4GB")</f>
        <v>4GB</v>
      </c>
      <c r="I131" s="17">
        <v>1279.5</v>
      </c>
      <c r="J131" s="6">
        <v>2.0</v>
      </c>
      <c r="K131" s="17">
        <v>2559.0</v>
      </c>
      <c r="L131" s="2" t="s">
        <v>452</v>
      </c>
      <c r="M131" s="2" t="s">
        <v>453</v>
      </c>
      <c r="N131" s="2" t="s">
        <v>454</v>
      </c>
    </row>
    <row r="132" ht="15.75" customHeight="1">
      <c r="A132" s="18">
        <v>45585.0</v>
      </c>
      <c r="B132" s="16" t="str">
        <f t="shared" si="1"/>
        <v>October</v>
      </c>
      <c r="C132" s="3" t="s">
        <v>29</v>
      </c>
      <c r="D132" s="2" t="str">
        <f t="shared" si="2"/>
        <v>Ciudad De Mexico</v>
      </c>
      <c r="E132" s="2" t="s">
        <v>66</v>
      </c>
      <c r="F132" s="2" t="str">
        <f>IFERROR(__xludf.DUMMYFUNCTION("SPLIT(E132, ""-"")"),"Tablet")</f>
        <v>Tablet</v>
      </c>
      <c r="G132" s="2" t="str">
        <f>IFERROR(__xludf.DUMMYFUNCTION("""COMPUTED_VALUE"""),"Estándar")</f>
        <v>Estándar</v>
      </c>
      <c r="H132" s="2" t="str">
        <f>IFERROR(__xludf.DUMMYFUNCTION("""COMPUTED_VALUE"""),"4GB")</f>
        <v>4GB</v>
      </c>
      <c r="I132" s="17">
        <v>2299.22</v>
      </c>
      <c r="J132" s="6">
        <v>5.0</v>
      </c>
      <c r="K132" s="17">
        <v>11496.1</v>
      </c>
      <c r="L132" s="2" t="s">
        <v>455</v>
      </c>
      <c r="M132" s="2" t="s">
        <v>456</v>
      </c>
      <c r="N132" s="2" t="s">
        <v>457</v>
      </c>
    </row>
    <row r="133" ht="15.75" customHeight="1">
      <c r="A133" s="18">
        <v>45585.0</v>
      </c>
      <c r="B133" s="16" t="str">
        <f t="shared" si="1"/>
        <v>October</v>
      </c>
      <c r="C133" s="3" t="s">
        <v>29</v>
      </c>
      <c r="D133" s="2" t="str">
        <f t="shared" si="2"/>
        <v>Ciudad De Mexico</v>
      </c>
      <c r="E133" s="2" t="s">
        <v>39</v>
      </c>
      <c r="F133" s="2" t="str">
        <f>IFERROR(__xludf.DUMMYFUNCTION("SPLIT(E133, ""-"")"),"Auriculares")</f>
        <v>Auriculares</v>
      </c>
      <c r="G133" s="2" t="str">
        <f>IFERROR(__xludf.DUMMYFUNCTION("""COMPUTED_VALUE"""),"Con cable")</f>
        <v>Con cable</v>
      </c>
      <c r="H133" s="2" t="str">
        <f>IFERROR(__xludf.DUMMYFUNCTION("""COMPUTED_VALUE"""),"8GB")</f>
        <v>8GB</v>
      </c>
      <c r="I133" s="17">
        <v>1077.13</v>
      </c>
      <c r="J133" s="6">
        <v>5.0</v>
      </c>
      <c r="K133" s="17">
        <v>5385.65</v>
      </c>
      <c r="L133" s="2" t="s">
        <v>458</v>
      </c>
      <c r="M133" s="2" t="s">
        <v>459</v>
      </c>
      <c r="N133" s="2" t="s">
        <v>460</v>
      </c>
    </row>
    <row r="134" ht="15.75" customHeight="1">
      <c r="A134" s="18">
        <v>45585.0</v>
      </c>
      <c r="B134" s="16" t="str">
        <f t="shared" si="1"/>
        <v>October</v>
      </c>
      <c r="C134" s="3" t="s">
        <v>29</v>
      </c>
      <c r="D134" s="2" t="str">
        <f t="shared" si="2"/>
        <v>Ciudad De Mexico</v>
      </c>
      <c r="E134" s="2" t="s">
        <v>10</v>
      </c>
      <c r="F134" s="2" t="str">
        <f>IFERROR(__xludf.DUMMYFUNCTION("SPLIT(E134, ""-"")"),"Tablet")</f>
        <v>Tablet</v>
      </c>
      <c r="G134" s="2" t="str">
        <f>IFERROR(__xludf.DUMMYFUNCTION("""COMPUTED_VALUE"""),"Estándar")</f>
        <v>Estándar</v>
      </c>
      <c r="H134" s="2" t="str">
        <f>IFERROR(__xludf.DUMMYFUNCTION("""COMPUTED_VALUE"""),"8GB")</f>
        <v>8GB</v>
      </c>
      <c r="I134" s="17">
        <v>1956.0</v>
      </c>
      <c r="J134" s="6">
        <v>5.0</v>
      </c>
      <c r="K134" s="17">
        <v>9780.0</v>
      </c>
      <c r="L134" s="2" t="s">
        <v>461</v>
      </c>
      <c r="M134" s="2" t="s">
        <v>462</v>
      </c>
      <c r="N134" s="2" t="s">
        <v>463</v>
      </c>
    </row>
    <row r="135" ht="15.75" customHeight="1">
      <c r="A135" s="18">
        <v>45585.0</v>
      </c>
      <c r="B135" s="16" t="str">
        <f t="shared" si="1"/>
        <v>October</v>
      </c>
      <c r="C135" s="2" t="s">
        <v>74</v>
      </c>
      <c r="D135" s="2" t="str">
        <f t="shared" si="2"/>
        <v>Cali</v>
      </c>
      <c r="E135" s="2" t="s">
        <v>130</v>
      </c>
      <c r="F135" s="2" t="str">
        <f>IFERROR(__xludf.DUMMYFUNCTION("SPLIT(E135, ""-"")"),"Tablet")</f>
        <v>Tablet</v>
      </c>
      <c r="G135" s="2" t="str">
        <f>IFERROR(__xludf.DUMMYFUNCTION("""COMPUTED_VALUE"""),"Pro")</f>
        <v>Pro</v>
      </c>
      <c r="H135" s="2" t="str">
        <f>IFERROR(__xludf.DUMMYFUNCTION("""COMPUTED_VALUE"""),"8GB")</f>
        <v>8GB</v>
      </c>
      <c r="I135" s="17">
        <v>2224.57</v>
      </c>
      <c r="J135" s="6">
        <v>5.0</v>
      </c>
      <c r="K135" s="17">
        <v>11122.85</v>
      </c>
      <c r="L135" s="2" t="s">
        <v>464</v>
      </c>
      <c r="M135" s="2" t="s">
        <v>465</v>
      </c>
      <c r="N135" s="8" t="s">
        <v>466</v>
      </c>
    </row>
    <row r="136" ht="15.75" customHeight="1">
      <c r="A136" s="18">
        <v>45585.0</v>
      </c>
      <c r="B136" s="16" t="str">
        <f t="shared" si="1"/>
        <v>October</v>
      </c>
      <c r="C136" s="2" t="s">
        <v>87</v>
      </c>
      <c r="D136" s="2" t="str">
        <f t="shared" si="2"/>
        <v>Tulum</v>
      </c>
      <c r="E136" s="2" t="s">
        <v>341</v>
      </c>
      <c r="F136" s="2" t="str">
        <f>IFERROR(__xludf.DUMMYFUNCTION("SPLIT(E136, ""-"")"),"Laptop")</f>
        <v>Laptop</v>
      </c>
      <c r="G136" s="2" t="str">
        <f>IFERROR(__xludf.DUMMYFUNCTION("""COMPUTED_VALUE"""),"Ultraliviana")</f>
        <v>Ultraliviana</v>
      </c>
      <c r="H136" s="2" t="str">
        <f>IFERROR(__xludf.DUMMYFUNCTION("""COMPUTED_VALUE"""),"8GB")</f>
        <v>8GB</v>
      </c>
      <c r="I136" s="17">
        <v>1840.11</v>
      </c>
      <c r="J136" s="6">
        <v>1.0</v>
      </c>
      <c r="K136" s="17">
        <v>1840.11</v>
      </c>
      <c r="L136" s="2" t="s">
        <v>467</v>
      </c>
      <c r="M136" s="2" t="s">
        <v>468</v>
      </c>
      <c r="N136" s="2" t="s">
        <v>469</v>
      </c>
    </row>
    <row r="137" ht="15.75" customHeight="1">
      <c r="A137" s="18">
        <v>45585.0</v>
      </c>
      <c r="B137" s="16" t="str">
        <f t="shared" si="1"/>
        <v>October</v>
      </c>
      <c r="C137" s="3" t="s">
        <v>29</v>
      </c>
      <c r="D137" s="2" t="str">
        <f t="shared" si="2"/>
        <v>Ciudad De Mexico</v>
      </c>
      <c r="E137" s="2" t="s">
        <v>308</v>
      </c>
      <c r="F137" s="2" t="str">
        <f>IFERROR(__xludf.DUMMYFUNCTION("SPLIT(E137, ""-"")"),"Laptop")</f>
        <v>Laptop</v>
      </c>
      <c r="G137" s="2" t="str">
        <f>IFERROR(__xludf.DUMMYFUNCTION("""COMPUTED_VALUE"""),"Ultraliviana")</f>
        <v>Ultraliviana</v>
      </c>
      <c r="H137" s="2" t="str">
        <f>IFERROR(__xludf.DUMMYFUNCTION("""COMPUTED_VALUE"""),"32GB")</f>
        <v>32GB</v>
      </c>
      <c r="I137" s="17">
        <v>2081.9</v>
      </c>
      <c r="J137" s="6">
        <v>1.0</v>
      </c>
      <c r="K137" s="17">
        <v>2081.9</v>
      </c>
      <c r="L137" s="2" t="s">
        <v>470</v>
      </c>
      <c r="M137" s="2" t="s">
        <v>471</v>
      </c>
      <c r="N137" s="2" t="s">
        <v>472</v>
      </c>
    </row>
    <row r="138" ht="15.75" customHeight="1">
      <c r="A138" s="18">
        <v>45585.0</v>
      </c>
      <c r="B138" s="16" t="str">
        <f t="shared" si="1"/>
        <v>October</v>
      </c>
      <c r="C138" s="2" t="s">
        <v>57</v>
      </c>
      <c r="D138" s="2" t="str">
        <f t="shared" si="2"/>
        <v>Guadalajara</v>
      </c>
      <c r="E138" s="2" t="s">
        <v>137</v>
      </c>
      <c r="F138" s="2" t="str">
        <f>IFERROR(__xludf.DUMMYFUNCTION("SPLIT(E138, ""-"")"),"Auriculares")</f>
        <v>Auriculares</v>
      </c>
      <c r="G138" s="2" t="str">
        <f>IFERROR(__xludf.DUMMYFUNCTION("""COMPUTED_VALUE"""),"Con cable")</f>
        <v>Con cable</v>
      </c>
      <c r="H138" s="2" t="str">
        <f>IFERROR(__xludf.DUMMYFUNCTION("""COMPUTED_VALUE"""),"16GB")</f>
        <v>16GB</v>
      </c>
      <c r="I138" s="17">
        <v>320.64</v>
      </c>
      <c r="J138" s="6">
        <v>5.0</v>
      </c>
      <c r="K138" s="17">
        <v>1603.2</v>
      </c>
      <c r="L138" s="2" t="s">
        <v>473</v>
      </c>
      <c r="M138" s="2" t="s">
        <v>474</v>
      </c>
      <c r="N138" s="2" t="s">
        <v>475</v>
      </c>
    </row>
    <row r="139" ht="15.75" customHeight="1">
      <c r="A139" s="18">
        <v>45585.0</v>
      </c>
      <c r="B139" s="16" t="str">
        <f t="shared" si="1"/>
        <v>October</v>
      </c>
      <c r="C139" s="2" t="s">
        <v>57</v>
      </c>
      <c r="D139" s="2" t="str">
        <f t="shared" si="2"/>
        <v>Guadalajara</v>
      </c>
      <c r="E139" s="2" t="s">
        <v>79</v>
      </c>
      <c r="F139" s="2" t="str">
        <f>IFERROR(__xludf.DUMMYFUNCTION("SPLIT(E139, ""-"")"),"Laptop")</f>
        <v>Laptop</v>
      </c>
      <c r="G139" s="2" t="str">
        <f>IFERROR(__xludf.DUMMYFUNCTION("""COMPUTED_VALUE"""),"Oficina")</f>
        <v>Oficina</v>
      </c>
      <c r="H139" s="2" t="str">
        <f>IFERROR(__xludf.DUMMYFUNCTION("""COMPUTED_VALUE"""),"16GB")</f>
        <v>16GB</v>
      </c>
      <c r="I139" s="17">
        <v>318.76</v>
      </c>
      <c r="J139" s="6">
        <v>3.0</v>
      </c>
      <c r="K139" s="17">
        <v>956.28</v>
      </c>
      <c r="L139" s="2" t="s">
        <v>476</v>
      </c>
      <c r="M139" s="2" t="s">
        <v>477</v>
      </c>
      <c r="N139" s="8" t="s">
        <v>478</v>
      </c>
    </row>
    <row r="140" ht="15.75" customHeight="1">
      <c r="A140" s="18">
        <v>45585.0</v>
      </c>
      <c r="B140" s="16" t="str">
        <f t="shared" si="1"/>
        <v>October</v>
      </c>
      <c r="C140" s="3" t="s">
        <v>29</v>
      </c>
      <c r="D140" s="2" t="str">
        <f t="shared" si="2"/>
        <v>Ciudad De Mexico</v>
      </c>
      <c r="E140" s="2" t="s">
        <v>137</v>
      </c>
      <c r="F140" s="2" t="str">
        <f>IFERROR(__xludf.DUMMYFUNCTION("SPLIT(E140, ""-"")"),"Auriculares")</f>
        <v>Auriculares</v>
      </c>
      <c r="G140" s="2" t="str">
        <f>IFERROR(__xludf.DUMMYFUNCTION("""COMPUTED_VALUE"""),"Con cable")</f>
        <v>Con cable</v>
      </c>
      <c r="H140" s="2" t="str">
        <f>IFERROR(__xludf.DUMMYFUNCTION("""COMPUTED_VALUE"""),"16GB")</f>
        <v>16GB</v>
      </c>
      <c r="I140" s="17">
        <v>474.59</v>
      </c>
      <c r="J140" s="6">
        <v>4.0</v>
      </c>
      <c r="K140" s="17">
        <v>1898.36</v>
      </c>
      <c r="L140" s="2" t="s">
        <v>479</v>
      </c>
      <c r="M140" s="2" t="s">
        <v>480</v>
      </c>
      <c r="N140" s="2" t="s">
        <v>481</v>
      </c>
    </row>
    <row r="141" ht="15.75" customHeight="1">
      <c r="A141" s="18">
        <v>45585.0</v>
      </c>
      <c r="B141" s="16" t="str">
        <f t="shared" si="1"/>
        <v>October</v>
      </c>
      <c r="C141" s="2" t="s">
        <v>74</v>
      </c>
      <c r="D141" s="2" t="str">
        <f t="shared" si="2"/>
        <v>Cali</v>
      </c>
      <c r="E141" s="2" t="s">
        <v>70</v>
      </c>
      <c r="F141" s="2" t="str">
        <f>IFERROR(__xludf.DUMMYFUNCTION("SPLIT(E141, ""-"")"),"Auriculares")</f>
        <v>Auriculares</v>
      </c>
      <c r="G141" s="2" t="str">
        <f>IFERROR(__xludf.DUMMYFUNCTION("""COMPUTED_VALUE"""),"Bluetooth")</f>
        <v>Bluetooth</v>
      </c>
      <c r="H141" s="2" t="str">
        <f>IFERROR(__xludf.DUMMYFUNCTION("""COMPUTED_VALUE"""),"16GB")</f>
        <v>16GB</v>
      </c>
      <c r="I141" s="17">
        <v>2430.43</v>
      </c>
      <c r="J141" s="6">
        <v>5.0</v>
      </c>
      <c r="K141" s="17">
        <v>12152.15</v>
      </c>
      <c r="L141" s="2" t="s">
        <v>482</v>
      </c>
      <c r="M141" s="2" t="s">
        <v>483</v>
      </c>
      <c r="N141" s="2" t="s">
        <v>484</v>
      </c>
    </row>
    <row r="142" ht="15.75" customHeight="1">
      <c r="A142" s="18">
        <v>45585.0</v>
      </c>
      <c r="B142" s="16" t="str">
        <f t="shared" si="1"/>
        <v>October</v>
      </c>
      <c r="C142" s="2" t="s">
        <v>34</v>
      </c>
      <c r="D142" s="2" t="str">
        <f t="shared" si="2"/>
        <v>Medellín</v>
      </c>
      <c r="E142" s="2" t="s">
        <v>256</v>
      </c>
      <c r="F142" s="2" t="str">
        <f>IFERROR(__xludf.DUMMYFUNCTION("SPLIT(E142, ""-"")"),"Auriculares")</f>
        <v>Auriculares</v>
      </c>
      <c r="G142" s="2" t="str">
        <f>IFERROR(__xludf.DUMMYFUNCTION("""COMPUTED_VALUE"""),"Cancelación de ruido")</f>
        <v>Cancelación de ruido</v>
      </c>
      <c r="H142" s="2" t="str">
        <f>IFERROR(__xludf.DUMMYFUNCTION("""COMPUTED_VALUE"""),"8GB")</f>
        <v>8GB</v>
      </c>
      <c r="I142" s="17">
        <v>270.83</v>
      </c>
      <c r="J142" s="6">
        <v>3.0</v>
      </c>
      <c r="K142" s="17">
        <v>812.49</v>
      </c>
      <c r="L142" s="2" t="s">
        <v>485</v>
      </c>
      <c r="M142" s="2" t="s">
        <v>486</v>
      </c>
      <c r="N142" s="2" t="s">
        <v>487</v>
      </c>
    </row>
    <row r="143" ht="15.75" customHeight="1">
      <c r="A143" s="18">
        <v>45586.0</v>
      </c>
      <c r="B143" s="16" t="str">
        <f t="shared" si="1"/>
        <v>October</v>
      </c>
      <c r="C143" s="2" t="s">
        <v>9</v>
      </c>
      <c r="D143" s="2" t="str">
        <f t="shared" si="2"/>
        <v>Monterrey</v>
      </c>
      <c r="E143" s="2" t="s">
        <v>115</v>
      </c>
      <c r="F143" s="2" t="str">
        <f>IFERROR(__xludf.DUMMYFUNCTION("SPLIT(E143, ""-"")"),"Teléfono")</f>
        <v>Teléfono</v>
      </c>
      <c r="G143" s="2" t="str">
        <f>IFERROR(__xludf.DUMMYFUNCTION("""COMPUTED_VALUE"""),"Gama baja")</f>
        <v>Gama baja</v>
      </c>
      <c r="H143" s="2" t="str">
        <f>IFERROR(__xludf.DUMMYFUNCTION("""COMPUTED_VALUE"""),"16GB")</f>
        <v>16GB</v>
      </c>
      <c r="I143" s="17">
        <v>121.68</v>
      </c>
      <c r="J143" s="6">
        <v>2.0</v>
      </c>
      <c r="K143" s="17">
        <v>243.36</v>
      </c>
      <c r="L143" s="2" t="s">
        <v>488</v>
      </c>
      <c r="M143" s="2" t="s">
        <v>489</v>
      </c>
      <c r="N143" s="2" t="s">
        <v>490</v>
      </c>
    </row>
    <row r="144" ht="15.75" customHeight="1">
      <c r="A144" s="18">
        <v>45586.0</v>
      </c>
      <c r="B144" s="16" t="str">
        <f t="shared" si="1"/>
        <v>October</v>
      </c>
      <c r="C144" s="2" t="s">
        <v>74</v>
      </c>
      <c r="D144" s="2" t="str">
        <f t="shared" si="2"/>
        <v>Cali</v>
      </c>
      <c r="E144" s="2" t="s">
        <v>92</v>
      </c>
      <c r="F144" s="2" t="str">
        <f>IFERROR(__xludf.DUMMYFUNCTION("SPLIT(E144, ""-"")"),"Tablet")</f>
        <v>Tablet</v>
      </c>
      <c r="G144" s="2" t="str">
        <f>IFERROR(__xludf.DUMMYFUNCTION("""COMPUTED_VALUE"""),"Mini")</f>
        <v>Mini</v>
      </c>
      <c r="H144" s="2" t="str">
        <f>IFERROR(__xludf.DUMMYFUNCTION("""COMPUTED_VALUE"""),"8GB")</f>
        <v>8GB</v>
      </c>
      <c r="I144" s="17">
        <v>392.86</v>
      </c>
      <c r="J144" s="6">
        <v>2.0</v>
      </c>
      <c r="K144" s="17">
        <v>785.72</v>
      </c>
      <c r="L144" s="2" t="s">
        <v>491</v>
      </c>
      <c r="M144" s="2" t="s">
        <v>492</v>
      </c>
      <c r="N144" s="2" t="s">
        <v>493</v>
      </c>
    </row>
    <row r="145" ht="15.75" customHeight="1">
      <c r="A145" s="18">
        <v>45586.0</v>
      </c>
      <c r="B145" s="16" t="str">
        <f t="shared" si="1"/>
        <v>October</v>
      </c>
      <c r="C145" s="2" t="s">
        <v>87</v>
      </c>
      <c r="D145" s="2" t="str">
        <f t="shared" si="2"/>
        <v>Tulum</v>
      </c>
      <c r="E145" s="2" t="s">
        <v>341</v>
      </c>
      <c r="F145" s="2" t="str">
        <f>IFERROR(__xludf.DUMMYFUNCTION("SPLIT(E145, ""-"")"),"Laptop")</f>
        <v>Laptop</v>
      </c>
      <c r="G145" s="2" t="str">
        <f>IFERROR(__xludf.DUMMYFUNCTION("""COMPUTED_VALUE"""),"Ultraliviana")</f>
        <v>Ultraliviana</v>
      </c>
      <c r="H145" s="2" t="str">
        <f>IFERROR(__xludf.DUMMYFUNCTION("""COMPUTED_VALUE"""),"8GB")</f>
        <v>8GB</v>
      </c>
      <c r="I145" s="17">
        <v>1807.14</v>
      </c>
      <c r="J145" s="6">
        <v>5.0</v>
      </c>
      <c r="K145" s="17">
        <v>9035.7</v>
      </c>
      <c r="L145" s="2" t="s">
        <v>494</v>
      </c>
      <c r="M145" s="2" t="s">
        <v>495</v>
      </c>
      <c r="N145" s="2" t="s">
        <v>496</v>
      </c>
    </row>
    <row r="146" ht="15.75" customHeight="1">
      <c r="A146" s="18">
        <v>45586.0</v>
      </c>
      <c r="B146" s="16" t="str">
        <f t="shared" si="1"/>
        <v>October</v>
      </c>
      <c r="C146" s="2" t="s">
        <v>57</v>
      </c>
      <c r="D146" s="2" t="str">
        <f t="shared" si="2"/>
        <v>Guadalajara</v>
      </c>
      <c r="E146" s="2" t="s">
        <v>151</v>
      </c>
      <c r="F146" s="2" t="str">
        <f>IFERROR(__xludf.DUMMYFUNCTION("SPLIT(E146, ""-"")"),"Laptop")</f>
        <v>Laptop</v>
      </c>
      <c r="G146" s="2" t="str">
        <f>IFERROR(__xludf.DUMMYFUNCTION("""COMPUTED_VALUE"""),"Gaming")</f>
        <v>Gaming</v>
      </c>
      <c r="H146" s="2" t="str">
        <f>IFERROR(__xludf.DUMMYFUNCTION("""COMPUTED_VALUE"""),"8GB")</f>
        <v>8GB</v>
      </c>
      <c r="I146" s="17">
        <v>1604.02</v>
      </c>
      <c r="J146" s="6">
        <v>5.0</v>
      </c>
      <c r="K146" s="17">
        <v>8020.1</v>
      </c>
      <c r="L146" s="2" t="s">
        <v>497</v>
      </c>
      <c r="M146" s="2" t="s">
        <v>498</v>
      </c>
      <c r="N146" s="2" t="s">
        <v>499</v>
      </c>
    </row>
    <row r="147" ht="15.75" customHeight="1">
      <c r="A147" s="18">
        <v>45586.0</v>
      </c>
      <c r="B147" s="16" t="str">
        <f t="shared" si="1"/>
        <v>October</v>
      </c>
      <c r="C147" s="2" t="s">
        <v>34</v>
      </c>
      <c r="D147" s="2" t="str">
        <f t="shared" si="2"/>
        <v>Medellín</v>
      </c>
      <c r="E147" s="2" t="s">
        <v>269</v>
      </c>
      <c r="F147" s="2" t="str">
        <f>IFERROR(__xludf.DUMMYFUNCTION("SPLIT(E147, ""-"")"),"Teléfono")</f>
        <v>Teléfono</v>
      </c>
      <c r="G147" s="2" t="str">
        <f>IFERROR(__xludf.DUMMYFUNCTION("""COMPUTED_VALUE"""),"Gama baja")</f>
        <v>Gama baja</v>
      </c>
      <c r="H147" s="2" t="str">
        <f>IFERROR(__xludf.DUMMYFUNCTION("""COMPUTED_VALUE"""),"32GB")</f>
        <v>32GB</v>
      </c>
      <c r="I147" s="17">
        <v>72.75</v>
      </c>
      <c r="J147" s="6">
        <v>3.0</v>
      </c>
      <c r="K147" s="17">
        <v>218.25</v>
      </c>
      <c r="L147" s="2" t="s">
        <v>500</v>
      </c>
      <c r="M147" s="2" t="s">
        <v>501</v>
      </c>
      <c r="N147" s="2" t="s">
        <v>502</v>
      </c>
    </row>
    <row r="148" ht="15.75" customHeight="1">
      <c r="A148" s="18">
        <v>45587.0</v>
      </c>
      <c r="B148" s="16" t="str">
        <f t="shared" si="1"/>
        <v>October</v>
      </c>
      <c r="C148" s="3" t="s">
        <v>29</v>
      </c>
      <c r="D148" s="2" t="str">
        <f t="shared" si="2"/>
        <v>Ciudad De Mexico</v>
      </c>
      <c r="E148" s="2" t="s">
        <v>503</v>
      </c>
      <c r="F148" s="2" t="str">
        <f>IFERROR(__xludf.DUMMYFUNCTION("SPLIT(E148, ""-"")"),"Laptop")</f>
        <v>Laptop</v>
      </c>
      <c r="G148" s="2" t="str">
        <f>IFERROR(__xludf.DUMMYFUNCTION("""COMPUTED_VALUE"""),"Oficina")</f>
        <v>Oficina</v>
      </c>
      <c r="H148" s="2" t="str">
        <f>IFERROR(__xludf.DUMMYFUNCTION("""COMPUTED_VALUE"""),"8GB ")</f>
        <v>8GB </v>
      </c>
      <c r="I148" s="17">
        <v>1524.07</v>
      </c>
      <c r="J148" s="6">
        <v>1.0</v>
      </c>
      <c r="K148" s="17">
        <v>1524.07</v>
      </c>
      <c r="L148" s="2" t="s">
        <v>504</v>
      </c>
      <c r="M148" s="2" t="s">
        <v>505</v>
      </c>
      <c r="N148" s="2" t="s">
        <v>506</v>
      </c>
    </row>
    <row r="149" ht="15.75" customHeight="1">
      <c r="A149" s="18">
        <v>45587.0</v>
      </c>
      <c r="B149" s="16" t="str">
        <f t="shared" si="1"/>
        <v>October</v>
      </c>
      <c r="C149" s="2" t="s">
        <v>74</v>
      </c>
      <c r="D149" s="2" t="str">
        <f t="shared" si="2"/>
        <v>Cali</v>
      </c>
      <c r="E149" s="2" t="s">
        <v>79</v>
      </c>
      <c r="F149" s="2" t="str">
        <f>IFERROR(__xludf.DUMMYFUNCTION("SPLIT(E149, ""-"")"),"Laptop")</f>
        <v>Laptop</v>
      </c>
      <c r="G149" s="2" t="str">
        <f>IFERROR(__xludf.DUMMYFUNCTION("""COMPUTED_VALUE"""),"Oficina")</f>
        <v>Oficina</v>
      </c>
      <c r="H149" s="2" t="str">
        <f>IFERROR(__xludf.DUMMYFUNCTION("""COMPUTED_VALUE"""),"16GB")</f>
        <v>16GB</v>
      </c>
      <c r="I149" s="17">
        <v>2392.65</v>
      </c>
      <c r="J149" s="6">
        <v>4.0</v>
      </c>
      <c r="K149" s="17">
        <v>9570.6</v>
      </c>
      <c r="L149" s="2" t="s">
        <v>507</v>
      </c>
      <c r="M149" s="2" t="s">
        <v>508</v>
      </c>
      <c r="N149" s="2" t="s">
        <v>509</v>
      </c>
    </row>
    <row r="150" ht="15.75" customHeight="1">
      <c r="A150" s="18">
        <v>45587.0</v>
      </c>
      <c r="B150" s="16" t="str">
        <f t="shared" si="1"/>
        <v>October</v>
      </c>
      <c r="C150" s="3" t="s">
        <v>29</v>
      </c>
      <c r="D150" s="2" t="str">
        <f t="shared" si="2"/>
        <v>Ciudad De Mexico</v>
      </c>
      <c r="E150" s="2" t="s">
        <v>269</v>
      </c>
      <c r="F150" s="2" t="str">
        <f>IFERROR(__xludf.DUMMYFUNCTION("SPLIT(E150, ""-"")"),"Teléfono")</f>
        <v>Teléfono</v>
      </c>
      <c r="G150" s="2" t="str">
        <f>IFERROR(__xludf.DUMMYFUNCTION("""COMPUTED_VALUE"""),"Gama baja")</f>
        <v>Gama baja</v>
      </c>
      <c r="H150" s="2" t="str">
        <f>IFERROR(__xludf.DUMMYFUNCTION("""COMPUTED_VALUE"""),"32GB")</f>
        <v>32GB</v>
      </c>
      <c r="I150" s="17">
        <v>1988.0</v>
      </c>
      <c r="J150" s="6">
        <v>2.0</v>
      </c>
      <c r="K150" s="17">
        <v>3976.0</v>
      </c>
      <c r="L150" s="2" t="s">
        <v>510</v>
      </c>
      <c r="M150" s="2" t="s">
        <v>511</v>
      </c>
      <c r="N150" s="2" t="s">
        <v>512</v>
      </c>
    </row>
    <row r="151" ht="15.75" customHeight="1">
      <c r="A151" s="18">
        <v>45587.0</v>
      </c>
      <c r="B151" s="16" t="str">
        <f t="shared" si="1"/>
        <v>October</v>
      </c>
      <c r="C151" s="2" t="s">
        <v>57</v>
      </c>
      <c r="D151" s="2" t="str">
        <f t="shared" si="2"/>
        <v>Guadalajara</v>
      </c>
      <c r="E151" s="2" t="s">
        <v>226</v>
      </c>
      <c r="F151" s="2" t="str">
        <f>IFERROR(__xludf.DUMMYFUNCTION("SPLIT(E151, ""-"")"),"Laptop")</f>
        <v>Laptop</v>
      </c>
      <c r="G151" s="2" t="str">
        <f>IFERROR(__xludf.DUMMYFUNCTION("""COMPUTED_VALUE"""),"Oficina")</f>
        <v>Oficina</v>
      </c>
      <c r="H151" s="2" t="str">
        <f>IFERROR(__xludf.DUMMYFUNCTION("""COMPUTED_VALUE"""),"4GB")</f>
        <v>4GB</v>
      </c>
      <c r="I151" s="17">
        <v>1703.47</v>
      </c>
      <c r="J151" s="6">
        <v>2.0</v>
      </c>
      <c r="K151" s="17">
        <v>3406.94</v>
      </c>
      <c r="L151" s="2" t="s">
        <v>513</v>
      </c>
      <c r="M151" s="2" t="s">
        <v>514</v>
      </c>
      <c r="N151" s="2" t="s">
        <v>515</v>
      </c>
    </row>
    <row r="152" ht="15.75" customHeight="1">
      <c r="A152" s="18">
        <v>45587.0</v>
      </c>
      <c r="B152" s="16" t="str">
        <f t="shared" si="1"/>
        <v>October</v>
      </c>
      <c r="C152" s="2" t="s">
        <v>57</v>
      </c>
      <c r="D152" s="2" t="str">
        <f t="shared" si="2"/>
        <v>Guadalajara</v>
      </c>
      <c r="E152" s="2" t="s">
        <v>35</v>
      </c>
      <c r="F152" s="2" t="str">
        <f>IFERROR(__xludf.DUMMYFUNCTION("SPLIT(E152, ""-"")"),"Tablet")</f>
        <v>Tablet</v>
      </c>
      <c r="G152" s="2" t="str">
        <f>IFERROR(__xludf.DUMMYFUNCTION("""COMPUTED_VALUE"""),"Pro")</f>
        <v>Pro</v>
      </c>
      <c r="H152" s="2" t="str">
        <f>IFERROR(__xludf.DUMMYFUNCTION("""COMPUTED_VALUE"""),"4GB")</f>
        <v>4GB</v>
      </c>
      <c r="I152" s="17">
        <v>205.25</v>
      </c>
      <c r="J152" s="6">
        <v>3.0</v>
      </c>
      <c r="K152" s="17">
        <v>615.75</v>
      </c>
      <c r="L152" s="2" t="s">
        <v>516</v>
      </c>
      <c r="M152" s="2" t="s">
        <v>517</v>
      </c>
      <c r="N152" s="2" t="s">
        <v>518</v>
      </c>
    </row>
    <row r="153" ht="15.75" customHeight="1">
      <c r="A153" s="18">
        <v>45587.0</v>
      </c>
      <c r="B153" s="16" t="str">
        <f t="shared" si="1"/>
        <v>October</v>
      </c>
      <c r="C153" s="2" t="s">
        <v>74</v>
      </c>
      <c r="D153" s="2" t="str">
        <f t="shared" si="2"/>
        <v>Cali</v>
      </c>
      <c r="E153" s="2" t="s">
        <v>252</v>
      </c>
      <c r="F153" s="2" t="str">
        <f>IFERROR(__xludf.DUMMYFUNCTION("SPLIT(E153, ""-"")"),"Auriculares")</f>
        <v>Auriculares</v>
      </c>
      <c r="G153" s="2" t="str">
        <f>IFERROR(__xludf.DUMMYFUNCTION("""COMPUTED_VALUE"""),"Bluetooth")</f>
        <v>Bluetooth</v>
      </c>
      <c r="H153" s="2" t="str">
        <f>IFERROR(__xludf.DUMMYFUNCTION("""COMPUTED_VALUE"""),"8GB")</f>
        <v>8GB</v>
      </c>
      <c r="I153" s="17">
        <v>1882.22</v>
      </c>
      <c r="J153" s="6">
        <v>3.0</v>
      </c>
      <c r="K153" s="17">
        <v>5646.66</v>
      </c>
      <c r="L153" s="2" t="s">
        <v>519</v>
      </c>
      <c r="M153" s="2" t="s">
        <v>520</v>
      </c>
      <c r="N153" s="2" t="s">
        <v>521</v>
      </c>
    </row>
    <row r="154" ht="15.75" customHeight="1">
      <c r="A154" s="18">
        <v>45587.0</v>
      </c>
      <c r="B154" s="16" t="str">
        <f t="shared" si="1"/>
        <v>October</v>
      </c>
      <c r="C154" s="2" t="s">
        <v>14</v>
      </c>
      <c r="D154" s="2" t="str">
        <f t="shared" si="2"/>
        <v>Bogotá</v>
      </c>
      <c r="E154" s="2" t="s">
        <v>226</v>
      </c>
      <c r="F154" s="2" t="str">
        <f>IFERROR(__xludf.DUMMYFUNCTION("SPLIT(E154, ""-"")"),"Laptop")</f>
        <v>Laptop</v>
      </c>
      <c r="G154" s="2" t="str">
        <f>IFERROR(__xludf.DUMMYFUNCTION("""COMPUTED_VALUE"""),"Oficina")</f>
        <v>Oficina</v>
      </c>
      <c r="H154" s="2" t="str">
        <f>IFERROR(__xludf.DUMMYFUNCTION("""COMPUTED_VALUE"""),"4GB")</f>
        <v>4GB</v>
      </c>
      <c r="I154" s="17">
        <v>419.18</v>
      </c>
      <c r="J154" s="6">
        <v>4.0</v>
      </c>
      <c r="K154" s="17">
        <v>1676.72</v>
      </c>
      <c r="L154" s="2" t="s">
        <v>522</v>
      </c>
      <c r="M154" s="2" t="s">
        <v>523</v>
      </c>
      <c r="N154" s="2" t="s">
        <v>524</v>
      </c>
    </row>
    <row r="155" ht="15.75" customHeight="1">
      <c r="A155" s="18">
        <v>45587.0</v>
      </c>
      <c r="B155" s="16" t="str">
        <f t="shared" si="1"/>
        <v>October</v>
      </c>
      <c r="C155" s="2" t="s">
        <v>34</v>
      </c>
      <c r="D155" s="2" t="str">
        <f t="shared" si="2"/>
        <v>Medellín</v>
      </c>
      <c r="E155" s="2" t="s">
        <v>256</v>
      </c>
      <c r="F155" s="2" t="str">
        <f>IFERROR(__xludf.DUMMYFUNCTION("SPLIT(E155, ""-"")"),"Auriculares")</f>
        <v>Auriculares</v>
      </c>
      <c r="G155" s="2" t="str">
        <f>IFERROR(__xludf.DUMMYFUNCTION("""COMPUTED_VALUE"""),"Cancelación de ruido")</f>
        <v>Cancelación de ruido</v>
      </c>
      <c r="H155" s="2" t="str">
        <f>IFERROR(__xludf.DUMMYFUNCTION("""COMPUTED_VALUE"""),"8GB")</f>
        <v>8GB</v>
      </c>
      <c r="I155" s="17">
        <v>1511.08</v>
      </c>
      <c r="J155" s="6">
        <v>2.0</v>
      </c>
      <c r="K155" s="17">
        <v>3022.16</v>
      </c>
      <c r="L155" s="2" t="s">
        <v>525</v>
      </c>
      <c r="M155" s="2" t="s">
        <v>526</v>
      </c>
      <c r="N155" s="2" t="s">
        <v>527</v>
      </c>
    </row>
    <row r="156" ht="15.75" customHeight="1">
      <c r="A156" s="18">
        <v>45587.0</v>
      </c>
      <c r="B156" s="16" t="str">
        <f t="shared" si="1"/>
        <v>October</v>
      </c>
      <c r="C156" s="2" t="s">
        <v>9</v>
      </c>
      <c r="D156" s="2" t="str">
        <f t="shared" si="2"/>
        <v>Monterrey</v>
      </c>
      <c r="E156" s="2" t="s">
        <v>289</v>
      </c>
      <c r="F156" s="2" t="str">
        <f>IFERROR(__xludf.DUMMYFUNCTION("SPLIT(E156, ""-"")"),"Teléfono")</f>
        <v>Teléfono</v>
      </c>
      <c r="G156" s="2" t="str">
        <f>IFERROR(__xludf.DUMMYFUNCTION("""COMPUTED_VALUE"""),"Gama alta")</f>
        <v>Gama alta</v>
      </c>
      <c r="H156" s="2" t="str">
        <f>IFERROR(__xludf.DUMMYFUNCTION("""COMPUTED_VALUE"""),"16GB")</f>
        <v>16GB</v>
      </c>
      <c r="I156" s="17">
        <v>1736.9</v>
      </c>
      <c r="J156" s="6">
        <v>5.0</v>
      </c>
      <c r="K156" s="17">
        <v>8684.5</v>
      </c>
      <c r="L156" s="2" t="s">
        <v>528</v>
      </c>
      <c r="M156" s="2" t="s">
        <v>529</v>
      </c>
      <c r="N156" s="2" t="s">
        <v>530</v>
      </c>
    </row>
    <row r="157" ht="15.75" customHeight="1">
      <c r="A157" s="18">
        <v>45587.0</v>
      </c>
      <c r="B157" s="16" t="str">
        <f t="shared" si="1"/>
        <v>October</v>
      </c>
      <c r="C157" s="2" t="s">
        <v>14</v>
      </c>
      <c r="D157" s="2" t="str">
        <f t="shared" si="2"/>
        <v>Bogotá</v>
      </c>
      <c r="E157" s="2" t="s">
        <v>161</v>
      </c>
      <c r="F157" s="2" t="str">
        <f>IFERROR(__xludf.DUMMYFUNCTION("SPLIT(E157, ""-"")"),"Laptop")</f>
        <v>Laptop</v>
      </c>
      <c r="G157" s="2" t="str">
        <f>IFERROR(__xludf.DUMMYFUNCTION("""COMPUTED_VALUE"""),"Oficina")</f>
        <v>Oficina</v>
      </c>
      <c r="H157" s="2" t="str">
        <f>IFERROR(__xludf.DUMMYFUNCTION("""COMPUTED_VALUE"""),"32GB")</f>
        <v>32GB</v>
      </c>
      <c r="I157" s="17">
        <v>2063.13</v>
      </c>
      <c r="J157" s="6">
        <v>4.0</v>
      </c>
      <c r="K157" s="17">
        <v>8252.52</v>
      </c>
      <c r="L157" s="2" t="s">
        <v>531</v>
      </c>
      <c r="M157" s="2" t="s">
        <v>532</v>
      </c>
      <c r="N157" s="2" t="s">
        <v>533</v>
      </c>
    </row>
    <row r="158" ht="15.75" customHeight="1">
      <c r="A158" s="18">
        <v>45587.0</v>
      </c>
      <c r="B158" s="16" t="str">
        <f t="shared" si="1"/>
        <v>October</v>
      </c>
      <c r="C158" s="3" t="s">
        <v>29</v>
      </c>
      <c r="D158" s="2" t="str">
        <f t="shared" si="2"/>
        <v>Ciudad De Mexico</v>
      </c>
      <c r="E158" s="2" t="s">
        <v>226</v>
      </c>
      <c r="F158" s="2" t="str">
        <f>IFERROR(__xludf.DUMMYFUNCTION("SPLIT(E158, ""-"")"),"Laptop")</f>
        <v>Laptop</v>
      </c>
      <c r="G158" s="2" t="str">
        <f>IFERROR(__xludf.DUMMYFUNCTION("""COMPUTED_VALUE"""),"Oficina")</f>
        <v>Oficina</v>
      </c>
      <c r="H158" s="2" t="str">
        <f>IFERROR(__xludf.DUMMYFUNCTION("""COMPUTED_VALUE"""),"4GB")</f>
        <v>4GB</v>
      </c>
      <c r="I158" s="17">
        <v>2240.54</v>
      </c>
      <c r="J158" s="6">
        <v>2.0</v>
      </c>
      <c r="K158" s="17">
        <v>4481.08</v>
      </c>
      <c r="L158" s="2" t="s">
        <v>534</v>
      </c>
      <c r="M158" s="2" t="s">
        <v>535</v>
      </c>
      <c r="N158" s="2" t="s">
        <v>536</v>
      </c>
    </row>
    <row r="159" ht="15.75" customHeight="1">
      <c r="A159" s="18">
        <v>45588.0</v>
      </c>
      <c r="B159" s="16" t="str">
        <f t="shared" si="1"/>
        <v>October</v>
      </c>
      <c r="C159" s="2" t="s">
        <v>9</v>
      </c>
      <c r="D159" s="2" t="str">
        <f t="shared" si="2"/>
        <v>Monterrey</v>
      </c>
      <c r="E159" s="2" t="s">
        <v>130</v>
      </c>
      <c r="F159" s="2" t="str">
        <f>IFERROR(__xludf.DUMMYFUNCTION("SPLIT(E159, ""-"")"),"Tablet")</f>
        <v>Tablet</v>
      </c>
      <c r="G159" s="2" t="str">
        <f>IFERROR(__xludf.DUMMYFUNCTION("""COMPUTED_VALUE"""),"Pro")</f>
        <v>Pro</v>
      </c>
      <c r="H159" s="2" t="str">
        <f>IFERROR(__xludf.DUMMYFUNCTION("""COMPUTED_VALUE"""),"8GB")</f>
        <v>8GB</v>
      </c>
      <c r="I159" s="17">
        <v>1242.34</v>
      </c>
      <c r="J159" s="6">
        <v>5.0</v>
      </c>
      <c r="K159" s="17">
        <v>6211.7</v>
      </c>
      <c r="L159" s="2" t="s">
        <v>537</v>
      </c>
      <c r="M159" s="2" t="s">
        <v>538</v>
      </c>
      <c r="N159" s="2" t="s">
        <v>539</v>
      </c>
    </row>
    <row r="160" ht="15.75" customHeight="1">
      <c r="A160" s="18">
        <v>45588.0</v>
      </c>
      <c r="B160" s="16" t="str">
        <f t="shared" si="1"/>
        <v>October</v>
      </c>
      <c r="C160" s="2" t="s">
        <v>57</v>
      </c>
      <c r="D160" s="2" t="str">
        <f t="shared" si="2"/>
        <v>Guadalajara</v>
      </c>
      <c r="E160" s="2" t="s">
        <v>396</v>
      </c>
      <c r="F160" s="2" t="str">
        <f>IFERROR(__xludf.DUMMYFUNCTION("SPLIT(E160, ""-"")"),"Laptop")</f>
        <v>Laptop</v>
      </c>
      <c r="G160" s="2" t="str">
        <f>IFERROR(__xludf.DUMMYFUNCTION("""COMPUTED_VALUE"""),"Gaming")</f>
        <v>Gaming</v>
      </c>
      <c r="H160" s="2" t="str">
        <f>IFERROR(__xludf.DUMMYFUNCTION("""COMPUTED_VALUE"""),"4GB")</f>
        <v>4GB</v>
      </c>
      <c r="I160" s="17">
        <v>1657.62</v>
      </c>
      <c r="J160" s="6">
        <v>4.0</v>
      </c>
      <c r="K160" s="17">
        <v>6630.48</v>
      </c>
      <c r="L160" s="2" t="s">
        <v>540</v>
      </c>
      <c r="M160" s="2" t="s">
        <v>541</v>
      </c>
      <c r="N160" s="2" t="s">
        <v>542</v>
      </c>
    </row>
    <row r="161" ht="15.75" customHeight="1">
      <c r="A161" s="18">
        <v>45588.0</v>
      </c>
      <c r="B161" s="16" t="str">
        <f t="shared" si="1"/>
        <v>October</v>
      </c>
      <c r="C161" s="2" t="s">
        <v>34</v>
      </c>
      <c r="D161" s="2" t="str">
        <f t="shared" si="2"/>
        <v>Medellín</v>
      </c>
      <c r="E161" s="2" t="s">
        <v>15</v>
      </c>
      <c r="F161" s="2" t="str">
        <f>IFERROR(__xludf.DUMMYFUNCTION("SPLIT(E161, ""-"")"),"Auriculares")</f>
        <v>Auriculares</v>
      </c>
      <c r="G161" s="2" t="str">
        <f>IFERROR(__xludf.DUMMYFUNCTION("""COMPUTED_VALUE"""),"Con cable")</f>
        <v>Con cable</v>
      </c>
      <c r="H161" s="2" t="str">
        <f>IFERROR(__xludf.DUMMYFUNCTION("""COMPUTED_VALUE"""),"32GB")</f>
        <v>32GB</v>
      </c>
      <c r="I161" s="17">
        <v>499.22</v>
      </c>
      <c r="J161" s="6">
        <v>3.0</v>
      </c>
      <c r="K161" s="17">
        <v>1497.66</v>
      </c>
      <c r="L161" s="2" t="s">
        <v>543</v>
      </c>
      <c r="M161" s="2" t="s">
        <v>544</v>
      </c>
      <c r="N161" s="2" t="s">
        <v>545</v>
      </c>
    </row>
    <row r="162" ht="15.75" customHeight="1">
      <c r="A162" s="18">
        <v>45588.0</v>
      </c>
      <c r="B162" s="16" t="str">
        <f t="shared" si="1"/>
        <v>October</v>
      </c>
      <c r="C162" s="2" t="s">
        <v>57</v>
      </c>
      <c r="D162" s="2" t="str">
        <f t="shared" si="2"/>
        <v>Guadalajara</v>
      </c>
      <c r="E162" s="2" t="s">
        <v>279</v>
      </c>
      <c r="F162" s="2" t="str">
        <f>IFERROR(__xludf.DUMMYFUNCTION("SPLIT(E162, ""-"")"),"Tablet")</f>
        <v>Tablet</v>
      </c>
      <c r="G162" s="2" t="str">
        <f>IFERROR(__xludf.DUMMYFUNCTION("""COMPUTED_VALUE"""),"Pro")</f>
        <v>Pro</v>
      </c>
      <c r="H162" s="2" t="str">
        <f>IFERROR(__xludf.DUMMYFUNCTION("""COMPUTED_VALUE"""),"16GB")</f>
        <v>16GB</v>
      </c>
      <c r="I162" s="17">
        <v>348.21</v>
      </c>
      <c r="J162" s="6">
        <v>5.0</v>
      </c>
      <c r="K162" s="17">
        <v>1741.05</v>
      </c>
      <c r="L162" s="2" t="s">
        <v>546</v>
      </c>
      <c r="M162" s="2" t="s">
        <v>547</v>
      </c>
      <c r="N162" s="2" t="s">
        <v>548</v>
      </c>
    </row>
    <row r="163" ht="15.75" customHeight="1">
      <c r="A163" s="18">
        <v>45588.0</v>
      </c>
      <c r="B163" s="16" t="str">
        <f t="shared" si="1"/>
        <v>October</v>
      </c>
      <c r="C163" s="3" t="s">
        <v>29</v>
      </c>
      <c r="D163" s="2" t="str">
        <f t="shared" si="2"/>
        <v>Ciudad De Mexico</v>
      </c>
      <c r="E163" s="2" t="s">
        <v>79</v>
      </c>
      <c r="F163" s="2" t="str">
        <f>IFERROR(__xludf.DUMMYFUNCTION("SPLIT(E163, ""-"")"),"Laptop")</f>
        <v>Laptop</v>
      </c>
      <c r="G163" s="2" t="str">
        <f>IFERROR(__xludf.DUMMYFUNCTION("""COMPUTED_VALUE"""),"Oficina")</f>
        <v>Oficina</v>
      </c>
      <c r="H163" s="2" t="str">
        <f>IFERROR(__xludf.DUMMYFUNCTION("""COMPUTED_VALUE"""),"16GB")</f>
        <v>16GB</v>
      </c>
      <c r="I163" s="17">
        <v>324.46</v>
      </c>
      <c r="J163" s="6">
        <v>2.0</v>
      </c>
      <c r="K163" s="17">
        <v>648.92</v>
      </c>
      <c r="L163" s="2" t="s">
        <v>549</v>
      </c>
      <c r="M163" s="2" t="s">
        <v>550</v>
      </c>
      <c r="N163" s="2" t="s">
        <v>551</v>
      </c>
    </row>
    <row r="164" ht="15.75" customHeight="1">
      <c r="A164" s="18">
        <v>45588.0</v>
      </c>
      <c r="B164" s="16" t="str">
        <f t="shared" si="1"/>
        <v>October</v>
      </c>
      <c r="C164" s="2" t="s">
        <v>74</v>
      </c>
      <c r="D164" s="2" t="str">
        <f t="shared" si="2"/>
        <v>Cali</v>
      </c>
      <c r="E164" s="2" t="s">
        <v>53</v>
      </c>
      <c r="F164" s="2" t="str">
        <f>IFERROR(__xludf.DUMMYFUNCTION("SPLIT(E164, ""-"")"),"Laptop")</f>
        <v>Laptop</v>
      </c>
      <c r="G164" s="2" t="str">
        <f>IFERROR(__xludf.DUMMYFUNCTION("""COMPUTED_VALUE"""),"Oficina")</f>
        <v>Oficina</v>
      </c>
      <c r="H164" s="2" t="str">
        <f>IFERROR(__xludf.DUMMYFUNCTION("""COMPUTED_VALUE"""),"8GB")</f>
        <v>8GB</v>
      </c>
      <c r="I164" s="17">
        <v>796.3</v>
      </c>
      <c r="J164" s="6">
        <v>4.0</v>
      </c>
      <c r="K164" s="17">
        <v>3185.2</v>
      </c>
      <c r="L164" s="2" t="s">
        <v>552</v>
      </c>
      <c r="M164" s="2" t="s">
        <v>553</v>
      </c>
      <c r="N164" s="2" t="s">
        <v>554</v>
      </c>
    </row>
    <row r="165" ht="15.75" customHeight="1">
      <c r="A165" s="18">
        <v>45588.0</v>
      </c>
      <c r="B165" s="16" t="str">
        <f t="shared" si="1"/>
        <v>October</v>
      </c>
      <c r="C165" s="2" t="s">
        <v>9</v>
      </c>
      <c r="D165" s="2" t="str">
        <f t="shared" si="2"/>
        <v>Monterrey</v>
      </c>
      <c r="E165" s="2" t="s">
        <v>187</v>
      </c>
      <c r="F165" s="2" t="str">
        <f>IFERROR(__xludf.DUMMYFUNCTION("SPLIT(E165, ""-"")"),"Laptop")</f>
        <v>Laptop</v>
      </c>
      <c r="G165" s="2" t="str">
        <f>IFERROR(__xludf.DUMMYFUNCTION("""COMPUTED_VALUE"""),"Ultraliviana")</f>
        <v>Ultraliviana</v>
      </c>
      <c r="H165" s="2" t="str">
        <f>IFERROR(__xludf.DUMMYFUNCTION("""COMPUTED_VALUE"""),"16GB")</f>
        <v>16GB</v>
      </c>
      <c r="I165" s="17">
        <v>1327.27</v>
      </c>
      <c r="J165" s="6">
        <v>2.0</v>
      </c>
      <c r="K165" s="17">
        <v>2654.54</v>
      </c>
      <c r="L165" s="2" t="s">
        <v>555</v>
      </c>
      <c r="M165" s="2" t="s">
        <v>556</v>
      </c>
      <c r="N165" s="8" t="s">
        <v>557</v>
      </c>
    </row>
    <row r="166" ht="15.75" customHeight="1">
      <c r="A166" s="18">
        <v>45588.0</v>
      </c>
      <c r="B166" s="16" t="str">
        <f t="shared" si="1"/>
        <v>October</v>
      </c>
      <c r="C166" s="2" t="s">
        <v>34</v>
      </c>
      <c r="D166" s="2" t="str">
        <f t="shared" si="2"/>
        <v>Medellín</v>
      </c>
      <c r="E166" s="2" t="s">
        <v>169</v>
      </c>
      <c r="F166" s="2" t="str">
        <f>IFERROR(__xludf.DUMMYFUNCTION("SPLIT(E166, ""-"")"),"Teléfono")</f>
        <v>Teléfono</v>
      </c>
      <c r="G166" s="2" t="str">
        <f>IFERROR(__xludf.DUMMYFUNCTION("""COMPUTED_VALUE"""),"Gama baja")</f>
        <v>Gama baja</v>
      </c>
      <c r="H166" s="2" t="str">
        <f>IFERROR(__xludf.DUMMYFUNCTION("""COMPUTED_VALUE"""),"4GB")</f>
        <v>4GB</v>
      </c>
      <c r="I166" s="17">
        <v>2384.86</v>
      </c>
      <c r="J166" s="6">
        <v>4.0</v>
      </c>
      <c r="K166" s="17">
        <v>9539.44</v>
      </c>
      <c r="L166" s="2" t="s">
        <v>558</v>
      </c>
      <c r="M166" s="2" t="s">
        <v>559</v>
      </c>
      <c r="N166" s="2" t="s">
        <v>560</v>
      </c>
    </row>
    <row r="167" ht="15.75" customHeight="1">
      <c r="A167" s="18">
        <v>45588.0</v>
      </c>
      <c r="B167" s="16" t="str">
        <f t="shared" si="1"/>
        <v>October</v>
      </c>
      <c r="C167" s="2" t="s">
        <v>34</v>
      </c>
      <c r="D167" s="2" t="str">
        <f t="shared" si="2"/>
        <v>Medellín</v>
      </c>
      <c r="E167" s="2" t="s">
        <v>88</v>
      </c>
      <c r="F167" s="2" t="str">
        <f>IFERROR(__xludf.DUMMYFUNCTION("SPLIT(E167, ""-"")"),"Laptop")</f>
        <v>Laptop</v>
      </c>
      <c r="G167" s="2" t="str">
        <f>IFERROR(__xludf.DUMMYFUNCTION("""COMPUTED_VALUE"""),"Gaming")</f>
        <v>Gaming</v>
      </c>
      <c r="H167" s="2" t="str">
        <f>IFERROR(__xludf.DUMMYFUNCTION("""COMPUTED_VALUE"""),"32GB")</f>
        <v>32GB</v>
      </c>
      <c r="I167" s="17">
        <v>379.64</v>
      </c>
      <c r="J167" s="6">
        <v>3.0</v>
      </c>
      <c r="K167" s="17">
        <v>1138.92</v>
      </c>
      <c r="L167" s="2" t="s">
        <v>561</v>
      </c>
      <c r="M167" s="2" t="s">
        <v>562</v>
      </c>
      <c r="N167" s="2" t="s">
        <v>563</v>
      </c>
    </row>
    <row r="168" ht="15.75" customHeight="1">
      <c r="A168" s="18">
        <v>45588.0</v>
      </c>
      <c r="B168" s="16" t="str">
        <f t="shared" si="1"/>
        <v>October</v>
      </c>
      <c r="C168" s="2" t="s">
        <v>57</v>
      </c>
      <c r="D168" s="2" t="str">
        <f t="shared" si="2"/>
        <v>Guadalajara</v>
      </c>
      <c r="E168" s="2" t="s">
        <v>30</v>
      </c>
      <c r="F168" s="2" t="str">
        <f>IFERROR(__xludf.DUMMYFUNCTION("SPLIT(E168, ""-"")"),"Teléfono")</f>
        <v>Teléfono</v>
      </c>
      <c r="G168" s="2" t="str">
        <f>IFERROR(__xludf.DUMMYFUNCTION("""COMPUTED_VALUE"""),"Gama alta")</f>
        <v>Gama alta</v>
      </c>
      <c r="H168" s="2" t="str">
        <f>IFERROR(__xludf.DUMMYFUNCTION("""COMPUTED_VALUE"""),"32GB")</f>
        <v>32GB</v>
      </c>
      <c r="I168" s="17">
        <v>1582.73</v>
      </c>
      <c r="J168" s="6">
        <v>2.0</v>
      </c>
      <c r="K168" s="17">
        <v>3165.46</v>
      </c>
      <c r="L168" s="2" t="s">
        <v>564</v>
      </c>
      <c r="M168" s="2" t="s">
        <v>565</v>
      </c>
      <c r="N168" s="2" t="s">
        <v>566</v>
      </c>
    </row>
    <row r="169" ht="15.75" customHeight="1">
      <c r="A169" s="18">
        <v>45588.0</v>
      </c>
      <c r="B169" s="16" t="str">
        <f t="shared" si="1"/>
        <v>October</v>
      </c>
      <c r="C169" s="2" t="s">
        <v>74</v>
      </c>
      <c r="D169" s="2" t="str">
        <f t="shared" si="2"/>
        <v>Cali</v>
      </c>
      <c r="E169" s="2" t="s">
        <v>92</v>
      </c>
      <c r="F169" s="2" t="str">
        <f>IFERROR(__xludf.DUMMYFUNCTION("SPLIT(E169, ""-"")"),"Tablet")</f>
        <v>Tablet</v>
      </c>
      <c r="G169" s="2" t="str">
        <f>IFERROR(__xludf.DUMMYFUNCTION("""COMPUTED_VALUE"""),"Mini")</f>
        <v>Mini</v>
      </c>
      <c r="H169" s="2" t="str">
        <f>IFERROR(__xludf.DUMMYFUNCTION("""COMPUTED_VALUE"""),"8GB")</f>
        <v>8GB</v>
      </c>
      <c r="I169" s="17">
        <v>1362.97</v>
      </c>
      <c r="J169" s="6">
        <v>1.0</v>
      </c>
      <c r="K169" s="17">
        <v>1362.97</v>
      </c>
      <c r="L169" s="2" t="s">
        <v>567</v>
      </c>
      <c r="M169" s="2" t="s">
        <v>568</v>
      </c>
      <c r="N169" s="2" t="s">
        <v>569</v>
      </c>
    </row>
    <row r="170" ht="15.75" customHeight="1">
      <c r="A170" s="18">
        <v>45588.0</v>
      </c>
      <c r="B170" s="16" t="str">
        <f t="shared" si="1"/>
        <v>October</v>
      </c>
      <c r="C170" s="2" t="s">
        <v>14</v>
      </c>
      <c r="D170" s="2" t="str">
        <f t="shared" si="2"/>
        <v>Bogotá</v>
      </c>
      <c r="E170" s="2" t="s">
        <v>570</v>
      </c>
      <c r="F170" s="2" t="str">
        <f>IFERROR(__xludf.DUMMYFUNCTION("SPLIT(E170, ""-"")"),"Tablet")</f>
        <v>Tablet</v>
      </c>
      <c r="G170" s="2" t="str">
        <f>IFERROR(__xludf.DUMMYFUNCTION("""COMPUTED_VALUE"""),"Mini")</f>
        <v>Mini</v>
      </c>
      <c r="H170" s="2" t="str">
        <f>IFERROR(__xludf.DUMMYFUNCTION("""COMPUTED_VALUE"""),"16GB ")</f>
        <v>16GB </v>
      </c>
      <c r="I170" s="17">
        <v>1817.8</v>
      </c>
      <c r="J170" s="6">
        <v>3.0</v>
      </c>
      <c r="K170" s="17">
        <v>5453.4</v>
      </c>
      <c r="L170" s="2" t="s">
        <v>571</v>
      </c>
      <c r="M170" s="2" t="s">
        <v>572</v>
      </c>
      <c r="N170" s="2" t="s">
        <v>573</v>
      </c>
    </row>
    <row r="171" ht="15.75" customHeight="1">
      <c r="A171" s="18">
        <v>45589.0</v>
      </c>
      <c r="B171" s="16" t="str">
        <f t="shared" si="1"/>
        <v>October</v>
      </c>
      <c r="C171" s="2" t="s">
        <v>74</v>
      </c>
      <c r="D171" s="2" t="str">
        <f t="shared" si="2"/>
        <v>Cali</v>
      </c>
      <c r="E171" s="2" t="s">
        <v>39</v>
      </c>
      <c r="F171" s="2" t="str">
        <f>IFERROR(__xludf.DUMMYFUNCTION("SPLIT(E171, ""-"")"),"Auriculares")</f>
        <v>Auriculares</v>
      </c>
      <c r="G171" s="2" t="str">
        <f>IFERROR(__xludf.DUMMYFUNCTION("""COMPUTED_VALUE"""),"Con cable")</f>
        <v>Con cable</v>
      </c>
      <c r="H171" s="2" t="str">
        <f>IFERROR(__xludf.DUMMYFUNCTION("""COMPUTED_VALUE"""),"8GB")</f>
        <v>8GB</v>
      </c>
      <c r="I171" s="17">
        <v>1962.79</v>
      </c>
      <c r="J171" s="6">
        <v>3.0</v>
      </c>
      <c r="K171" s="17">
        <v>5888.37</v>
      </c>
      <c r="L171" s="2" t="s">
        <v>574</v>
      </c>
      <c r="M171" s="2" t="s">
        <v>575</v>
      </c>
      <c r="N171" s="2" t="s">
        <v>576</v>
      </c>
    </row>
    <row r="172" ht="15.75" customHeight="1">
      <c r="A172" s="18">
        <v>45589.0</v>
      </c>
      <c r="B172" s="16" t="str">
        <f t="shared" si="1"/>
        <v>October</v>
      </c>
      <c r="C172" s="2" t="s">
        <v>74</v>
      </c>
      <c r="D172" s="2" t="str">
        <f t="shared" si="2"/>
        <v>Cali</v>
      </c>
      <c r="E172" s="2" t="s">
        <v>35</v>
      </c>
      <c r="F172" s="2" t="str">
        <f>IFERROR(__xludf.DUMMYFUNCTION("SPLIT(E172, ""-"")"),"Tablet")</f>
        <v>Tablet</v>
      </c>
      <c r="G172" s="2" t="str">
        <f>IFERROR(__xludf.DUMMYFUNCTION("""COMPUTED_VALUE"""),"Pro")</f>
        <v>Pro</v>
      </c>
      <c r="H172" s="2" t="str">
        <f>IFERROR(__xludf.DUMMYFUNCTION("""COMPUTED_VALUE"""),"4GB")</f>
        <v>4GB</v>
      </c>
      <c r="I172" s="17">
        <v>785.65</v>
      </c>
      <c r="J172" s="6">
        <v>1.0</v>
      </c>
      <c r="K172" s="17">
        <v>785.65</v>
      </c>
      <c r="L172" s="2" t="s">
        <v>577</v>
      </c>
      <c r="M172" s="2" t="s">
        <v>578</v>
      </c>
      <c r="N172" s="2" t="s">
        <v>579</v>
      </c>
    </row>
    <row r="173" ht="15.75" customHeight="1">
      <c r="A173" s="18">
        <v>45589.0</v>
      </c>
      <c r="B173" s="16" t="str">
        <f t="shared" si="1"/>
        <v>October</v>
      </c>
      <c r="C173" s="2" t="s">
        <v>34</v>
      </c>
      <c r="D173" s="2" t="str">
        <f t="shared" si="2"/>
        <v>Medellín</v>
      </c>
      <c r="E173" s="2" t="s">
        <v>370</v>
      </c>
      <c r="F173" s="2" t="str">
        <f>IFERROR(__xludf.DUMMYFUNCTION("SPLIT(E173, ""-"")"),"Teléfono")</f>
        <v>Teléfono</v>
      </c>
      <c r="G173" s="2" t="str">
        <f>IFERROR(__xludf.DUMMYFUNCTION("""COMPUTED_VALUE"""),"Gama media")</f>
        <v>Gama media</v>
      </c>
      <c r="H173" s="2" t="str">
        <f>IFERROR(__xludf.DUMMYFUNCTION("""COMPUTED_VALUE"""),"16GB")</f>
        <v>16GB</v>
      </c>
      <c r="I173" s="17">
        <v>747.11</v>
      </c>
      <c r="J173" s="6">
        <v>5.0</v>
      </c>
      <c r="K173" s="17">
        <v>3735.55</v>
      </c>
      <c r="L173" s="2" t="s">
        <v>580</v>
      </c>
      <c r="M173" s="2" t="s">
        <v>581</v>
      </c>
      <c r="N173" s="2" t="s">
        <v>582</v>
      </c>
    </row>
    <row r="174" ht="15.75" customHeight="1">
      <c r="A174" s="18">
        <v>45589.0</v>
      </c>
      <c r="B174" s="16" t="str">
        <f t="shared" si="1"/>
        <v>October</v>
      </c>
      <c r="C174" s="3" t="s">
        <v>29</v>
      </c>
      <c r="D174" s="2" t="str">
        <f t="shared" si="2"/>
        <v>Ciudad De Mexico</v>
      </c>
      <c r="E174" s="2" t="s">
        <v>10</v>
      </c>
      <c r="F174" s="2" t="str">
        <f>IFERROR(__xludf.DUMMYFUNCTION("SPLIT(E174, ""-"")"),"Tablet")</f>
        <v>Tablet</v>
      </c>
      <c r="G174" s="2" t="str">
        <f>IFERROR(__xludf.DUMMYFUNCTION("""COMPUTED_VALUE"""),"Estándar")</f>
        <v>Estándar</v>
      </c>
      <c r="H174" s="2" t="str">
        <f>IFERROR(__xludf.DUMMYFUNCTION("""COMPUTED_VALUE"""),"8GB")</f>
        <v>8GB</v>
      </c>
      <c r="I174" s="17">
        <v>1030.99</v>
      </c>
      <c r="J174" s="6">
        <v>1.0</v>
      </c>
      <c r="K174" s="17">
        <v>1030.99</v>
      </c>
      <c r="L174" s="2" t="s">
        <v>583</v>
      </c>
      <c r="M174" s="2" t="s">
        <v>584</v>
      </c>
      <c r="N174" s="2" t="s">
        <v>585</v>
      </c>
    </row>
    <row r="175" ht="15.75" customHeight="1">
      <c r="A175" s="18">
        <v>45589.0</v>
      </c>
      <c r="B175" s="16" t="str">
        <f t="shared" si="1"/>
        <v>October</v>
      </c>
      <c r="C175" s="2" t="s">
        <v>57</v>
      </c>
      <c r="D175" s="2" t="str">
        <f t="shared" si="2"/>
        <v>Guadalajara</v>
      </c>
      <c r="E175" s="2" t="s">
        <v>53</v>
      </c>
      <c r="F175" s="2" t="str">
        <f>IFERROR(__xludf.DUMMYFUNCTION("SPLIT(E175, ""-"")"),"Laptop")</f>
        <v>Laptop</v>
      </c>
      <c r="G175" s="2" t="str">
        <f>IFERROR(__xludf.DUMMYFUNCTION("""COMPUTED_VALUE"""),"Oficina")</f>
        <v>Oficina</v>
      </c>
      <c r="H175" s="2" t="str">
        <f>IFERROR(__xludf.DUMMYFUNCTION("""COMPUTED_VALUE"""),"8GB")</f>
        <v>8GB</v>
      </c>
      <c r="I175" s="17">
        <v>486.27</v>
      </c>
      <c r="J175" s="6">
        <v>5.0</v>
      </c>
      <c r="K175" s="17">
        <v>2431.35</v>
      </c>
      <c r="L175" s="3" t="s">
        <v>586</v>
      </c>
      <c r="M175" s="2" t="s">
        <v>587</v>
      </c>
      <c r="N175" s="2" t="s">
        <v>588</v>
      </c>
    </row>
    <row r="176" ht="15.75" customHeight="1">
      <c r="A176" s="18">
        <v>45589.0</v>
      </c>
      <c r="B176" s="16" t="str">
        <f t="shared" si="1"/>
        <v>October</v>
      </c>
      <c r="C176" s="2" t="s">
        <v>9</v>
      </c>
      <c r="D176" s="2" t="str">
        <f t="shared" si="2"/>
        <v>Monterrey</v>
      </c>
      <c r="E176" s="2" t="s">
        <v>165</v>
      </c>
      <c r="F176" s="2" t="str">
        <f>IFERROR(__xludf.DUMMYFUNCTION("SPLIT(E176, ""-"")"),"Auriculares")</f>
        <v>Auriculares</v>
      </c>
      <c r="G176" s="2" t="str">
        <f>IFERROR(__xludf.DUMMYFUNCTION("""COMPUTED_VALUE"""),"Bluetooth")</f>
        <v>Bluetooth</v>
      </c>
      <c r="H176" s="2" t="str">
        <f>IFERROR(__xludf.DUMMYFUNCTION("""COMPUTED_VALUE"""),"32GB")</f>
        <v>32GB</v>
      </c>
      <c r="I176" s="17">
        <v>1518.43</v>
      </c>
      <c r="J176" s="6">
        <v>5.0</v>
      </c>
      <c r="K176" s="17">
        <v>7592.15</v>
      </c>
      <c r="L176" s="2" t="s">
        <v>589</v>
      </c>
      <c r="M176" s="2" t="s">
        <v>590</v>
      </c>
      <c r="N176" s="2" t="s">
        <v>591</v>
      </c>
    </row>
    <row r="177" ht="15.75" customHeight="1">
      <c r="A177" s="18">
        <v>45589.0</v>
      </c>
      <c r="B177" s="16" t="str">
        <f t="shared" si="1"/>
        <v>October</v>
      </c>
      <c r="C177" s="2" t="s">
        <v>14</v>
      </c>
      <c r="D177" s="2" t="str">
        <f t="shared" si="2"/>
        <v>Bogotá</v>
      </c>
      <c r="E177" s="2" t="s">
        <v>130</v>
      </c>
      <c r="F177" s="2" t="str">
        <f>IFERROR(__xludf.DUMMYFUNCTION("SPLIT(E177, ""-"")"),"Tablet")</f>
        <v>Tablet</v>
      </c>
      <c r="G177" s="2" t="str">
        <f>IFERROR(__xludf.DUMMYFUNCTION("""COMPUTED_VALUE"""),"Pro")</f>
        <v>Pro</v>
      </c>
      <c r="H177" s="2" t="str">
        <f>IFERROR(__xludf.DUMMYFUNCTION("""COMPUTED_VALUE"""),"8GB")</f>
        <v>8GB</v>
      </c>
      <c r="I177" s="17">
        <v>2100.84</v>
      </c>
      <c r="J177" s="6">
        <v>5.0</v>
      </c>
      <c r="K177" s="17">
        <v>10504.2</v>
      </c>
      <c r="L177" s="2" t="s">
        <v>592</v>
      </c>
      <c r="M177" s="2" t="s">
        <v>593</v>
      </c>
      <c r="N177" s="2" t="s">
        <v>594</v>
      </c>
    </row>
    <row r="178" ht="15.75" customHeight="1">
      <c r="A178" s="18">
        <v>45589.0</v>
      </c>
      <c r="B178" s="16" t="str">
        <f t="shared" si="1"/>
        <v>October</v>
      </c>
      <c r="C178" s="2" t="s">
        <v>74</v>
      </c>
      <c r="D178" s="2" t="str">
        <f t="shared" si="2"/>
        <v>Cali</v>
      </c>
      <c r="E178" s="2" t="s">
        <v>269</v>
      </c>
      <c r="F178" s="2" t="str">
        <f>IFERROR(__xludf.DUMMYFUNCTION("SPLIT(E178, ""-"")"),"Teléfono")</f>
        <v>Teléfono</v>
      </c>
      <c r="G178" s="2" t="str">
        <f>IFERROR(__xludf.DUMMYFUNCTION("""COMPUTED_VALUE"""),"Gama baja")</f>
        <v>Gama baja</v>
      </c>
      <c r="H178" s="2" t="str">
        <f>IFERROR(__xludf.DUMMYFUNCTION("""COMPUTED_VALUE"""),"32GB")</f>
        <v>32GB</v>
      </c>
      <c r="I178" s="17">
        <v>1261.22</v>
      </c>
      <c r="J178" s="6">
        <v>2.0</v>
      </c>
      <c r="K178" s="17">
        <v>2522.44</v>
      </c>
      <c r="L178" s="2" t="s">
        <v>595</v>
      </c>
      <c r="M178" s="2" t="s">
        <v>596</v>
      </c>
      <c r="N178" s="2" t="s">
        <v>597</v>
      </c>
    </row>
    <row r="179" ht="15.75" customHeight="1">
      <c r="A179" s="18">
        <v>45589.0</v>
      </c>
      <c r="B179" s="16" t="str">
        <f t="shared" si="1"/>
        <v>October</v>
      </c>
      <c r="C179" s="2" t="s">
        <v>74</v>
      </c>
      <c r="D179" s="2" t="str">
        <f t="shared" si="2"/>
        <v>Cali</v>
      </c>
      <c r="E179" s="2" t="s">
        <v>15</v>
      </c>
      <c r="F179" s="2" t="str">
        <f>IFERROR(__xludf.DUMMYFUNCTION("SPLIT(E179, ""-"")"),"Auriculares")</f>
        <v>Auriculares</v>
      </c>
      <c r="G179" s="2" t="str">
        <f>IFERROR(__xludf.DUMMYFUNCTION("""COMPUTED_VALUE"""),"Con cable")</f>
        <v>Con cable</v>
      </c>
      <c r="H179" s="2" t="str">
        <f>IFERROR(__xludf.DUMMYFUNCTION("""COMPUTED_VALUE"""),"32GB")</f>
        <v>32GB</v>
      </c>
      <c r="I179" s="17">
        <v>2418.11</v>
      </c>
      <c r="J179" s="6">
        <v>1.0</v>
      </c>
      <c r="K179" s="17">
        <v>2418.11</v>
      </c>
      <c r="L179" s="2" t="s">
        <v>598</v>
      </c>
      <c r="M179" s="2" t="s">
        <v>599</v>
      </c>
      <c r="N179" s="2" t="s">
        <v>600</v>
      </c>
    </row>
    <row r="180" ht="15.75" customHeight="1">
      <c r="A180" s="18">
        <v>45589.0</v>
      </c>
      <c r="B180" s="16" t="str">
        <f t="shared" si="1"/>
        <v>October</v>
      </c>
      <c r="C180" s="3" t="s">
        <v>29</v>
      </c>
      <c r="D180" s="2" t="str">
        <f t="shared" si="2"/>
        <v>Ciudad De Mexico</v>
      </c>
      <c r="E180" s="2" t="s">
        <v>66</v>
      </c>
      <c r="F180" s="2" t="str">
        <f>IFERROR(__xludf.DUMMYFUNCTION("SPLIT(E180, ""-"")"),"Tablet")</f>
        <v>Tablet</v>
      </c>
      <c r="G180" s="2" t="str">
        <f>IFERROR(__xludf.DUMMYFUNCTION("""COMPUTED_VALUE"""),"Estándar")</f>
        <v>Estándar</v>
      </c>
      <c r="H180" s="2" t="str">
        <f>IFERROR(__xludf.DUMMYFUNCTION("""COMPUTED_VALUE"""),"4GB")</f>
        <v>4GB</v>
      </c>
      <c r="I180" s="17">
        <v>2499.77</v>
      </c>
      <c r="J180" s="6">
        <v>3.0</v>
      </c>
      <c r="K180" s="17">
        <v>7499.31</v>
      </c>
      <c r="L180" s="2" t="s">
        <v>601</v>
      </c>
      <c r="M180" s="2" t="s">
        <v>602</v>
      </c>
      <c r="N180" s="2" t="s">
        <v>603</v>
      </c>
    </row>
    <row r="181" ht="15.75" customHeight="1">
      <c r="A181" s="18">
        <v>45589.0</v>
      </c>
      <c r="B181" s="16" t="str">
        <f t="shared" si="1"/>
        <v>October</v>
      </c>
      <c r="C181" s="2" t="s">
        <v>74</v>
      </c>
      <c r="D181" s="2" t="str">
        <f t="shared" si="2"/>
        <v>Cali</v>
      </c>
      <c r="E181" s="2" t="s">
        <v>119</v>
      </c>
      <c r="F181" s="2" t="str">
        <f>IFERROR(__xludf.DUMMYFUNCTION("SPLIT(E181, ""-"")"),"Teléfono")</f>
        <v>Teléfono</v>
      </c>
      <c r="G181" s="2" t="str">
        <f>IFERROR(__xludf.DUMMYFUNCTION("""COMPUTED_VALUE"""),"Gama alta")</f>
        <v>Gama alta</v>
      </c>
      <c r="H181" s="2" t="str">
        <f>IFERROR(__xludf.DUMMYFUNCTION("""COMPUTED_VALUE"""),"8GB")</f>
        <v>8GB</v>
      </c>
      <c r="I181" s="17">
        <v>1228.74</v>
      </c>
      <c r="J181" s="6">
        <v>2.0</v>
      </c>
      <c r="K181" s="17">
        <v>2457.48</v>
      </c>
      <c r="L181" s="2" t="s">
        <v>604</v>
      </c>
      <c r="M181" s="2" t="s">
        <v>605</v>
      </c>
      <c r="N181" s="2" t="s">
        <v>606</v>
      </c>
    </row>
    <row r="182" ht="15.75" customHeight="1">
      <c r="A182" s="18">
        <v>45589.0</v>
      </c>
      <c r="B182" s="16" t="str">
        <f t="shared" si="1"/>
        <v>October</v>
      </c>
      <c r="C182" s="3" t="s">
        <v>29</v>
      </c>
      <c r="D182" s="2" t="str">
        <f t="shared" si="2"/>
        <v>Ciudad De Mexico</v>
      </c>
      <c r="E182" s="2" t="s">
        <v>269</v>
      </c>
      <c r="F182" s="2" t="str">
        <f>IFERROR(__xludf.DUMMYFUNCTION("SPLIT(E182, ""-"")"),"Teléfono")</f>
        <v>Teléfono</v>
      </c>
      <c r="G182" s="2" t="str">
        <f>IFERROR(__xludf.DUMMYFUNCTION("""COMPUTED_VALUE"""),"Gama baja")</f>
        <v>Gama baja</v>
      </c>
      <c r="H182" s="2" t="str">
        <f>IFERROR(__xludf.DUMMYFUNCTION("""COMPUTED_VALUE"""),"32GB")</f>
        <v>32GB</v>
      </c>
      <c r="I182" s="17">
        <v>1901.74</v>
      </c>
      <c r="J182" s="6">
        <v>4.0</v>
      </c>
      <c r="K182" s="17">
        <v>7606.96</v>
      </c>
      <c r="L182" s="2" t="s">
        <v>607</v>
      </c>
      <c r="M182" s="2" t="s">
        <v>608</v>
      </c>
      <c r="N182" s="2" t="s">
        <v>609</v>
      </c>
    </row>
    <row r="183" ht="15.75" customHeight="1">
      <c r="A183" s="18">
        <v>45589.0</v>
      </c>
      <c r="B183" s="16" t="str">
        <f t="shared" si="1"/>
        <v>October</v>
      </c>
      <c r="C183" s="3" t="s">
        <v>29</v>
      </c>
      <c r="D183" s="2" t="str">
        <f t="shared" si="2"/>
        <v>Ciudad De Mexico</v>
      </c>
      <c r="E183" s="2" t="s">
        <v>10</v>
      </c>
      <c r="F183" s="2" t="str">
        <f>IFERROR(__xludf.DUMMYFUNCTION("SPLIT(E183, ""-"")"),"Tablet")</f>
        <v>Tablet</v>
      </c>
      <c r="G183" s="2" t="str">
        <f>IFERROR(__xludf.DUMMYFUNCTION("""COMPUTED_VALUE"""),"Estándar")</f>
        <v>Estándar</v>
      </c>
      <c r="H183" s="2" t="str">
        <f>IFERROR(__xludf.DUMMYFUNCTION("""COMPUTED_VALUE"""),"8GB")</f>
        <v>8GB</v>
      </c>
      <c r="I183" s="20">
        <f>K183/J183</f>
        <v>743.39</v>
      </c>
      <c r="J183" s="6">
        <v>5.0</v>
      </c>
      <c r="K183" s="17">
        <v>3716.95</v>
      </c>
      <c r="L183" s="2" t="s">
        <v>610</v>
      </c>
      <c r="M183" s="2" t="s">
        <v>611</v>
      </c>
      <c r="N183" s="2" t="s">
        <v>612</v>
      </c>
    </row>
    <row r="184" ht="15.75" customHeight="1">
      <c r="A184" s="18">
        <v>45590.0</v>
      </c>
      <c r="B184" s="16" t="str">
        <f t="shared" si="1"/>
        <v>October</v>
      </c>
      <c r="C184" s="3" t="s">
        <v>29</v>
      </c>
      <c r="D184" s="2" t="str">
        <f t="shared" si="2"/>
        <v>Ciudad De Mexico</v>
      </c>
      <c r="E184" s="21" t="s">
        <v>2340</v>
      </c>
      <c r="F184" s="2" t="str">
        <f>IFERROR(__xludf.DUMMYFUNCTION("SPLIT(E184, ""-"")"),"Teléfono")</f>
        <v>Teléfono</v>
      </c>
      <c r="G184" s="2" t="str">
        <f>IFERROR(__xludf.DUMMYFUNCTION("""COMPUTED_VALUE"""),"Gama media")</f>
        <v>Gama media</v>
      </c>
      <c r="H184" s="2" t="str">
        <f>IFERROR(__xludf.DUMMYFUNCTION("""COMPUTED_VALUE"""),"8GB")</f>
        <v>8GB</v>
      </c>
      <c r="I184" s="17">
        <v>2095.64</v>
      </c>
      <c r="J184" s="6">
        <v>5.0</v>
      </c>
      <c r="K184" s="17">
        <v>10478.2</v>
      </c>
      <c r="L184" s="2" t="s">
        <v>613</v>
      </c>
      <c r="M184" s="2" t="s">
        <v>614</v>
      </c>
      <c r="N184" s="2" t="s">
        <v>615</v>
      </c>
    </row>
    <row r="185" ht="15.75" customHeight="1">
      <c r="A185" s="18">
        <v>45590.0</v>
      </c>
      <c r="B185" s="16" t="str">
        <f t="shared" si="1"/>
        <v>October</v>
      </c>
      <c r="C185" s="2" t="s">
        <v>74</v>
      </c>
      <c r="D185" s="2" t="str">
        <f t="shared" si="2"/>
        <v>Cali</v>
      </c>
      <c r="E185" s="2" t="s">
        <v>230</v>
      </c>
      <c r="F185" s="2" t="str">
        <f>IFERROR(__xludf.DUMMYFUNCTION("SPLIT(E185, ""-"")"),"Tablet")</f>
        <v>Tablet</v>
      </c>
      <c r="G185" s="2" t="str">
        <f>IFERROR(__xludf.DUMMYFUNCTION("""COMPUTED_VALUE"""),"Mini")</f>
        <v>Mini</v>
      </c>
      <c r="H185" s="2" t="str">
        <f>IFERROR(__xludf.DUMMYFUNCTION("""COMPUTED_VALUE"""),"16GB")</f>
        <v>16GB</v>
      </c>
      <c r="I185" s="17">
        <v>1062.11</v>
      </c>
      <c r="J185" s="6">
        <v>2.0</v>
      </c>
      <c r="K185" s="17">
        <v>2124.22</v>
      </c>
      <c r="L185" s="2" t="s">
        <v>616</v>
      </c>
      <c r="M185" s="2" t="s">
        <v>617</v>
      </c>
      <c r="N185" s="2" t="s">
        <v>618</v>
      </c>
    </row>
    <row r="186" ht="15.75" customHeight="1">
      <c r="A186" s="18">
        <v>45590.0</v>
      </c>
      <c r="B186" s="16" t="str">
        <f t="shared" si="1"/>
        <v>October</v>
      </c>
      <c r="C186" s="3" t="s">
        <v>29</v>
      </c>
      <c r="D186" s="2" t="str">
        <f t="shared" si="2"/>
        <v>Ciudad De Mexico</v>
      </c>
      <c r="E186" s="2" t="s">
        <v>169</v>
      </c>
      <c r="F186" s="2" t="str">
        <f>IFERROR(__xludf.DUMMYFUNCTION("SPLIT(E186, ""-"")"),"Teléfono")</f>
        <v>Teléfono</v>
      </c>
      <c r="G186" s="2" t="str">
        <f>IFERROR(__xludf.DUMMYFUNCTION("""COMPUTED_VALUE"""),"Gama baja")</f>
        <v>Gama baja</v>
      </c>
      <c r="H186" s="2" t="str">
        <f>IFERROR(__xludf.DUMMYFUNCTION("""COMPUTED_VALUE"""),"4GB")</f>
        <v>4GB</v>
      </c>
      <c r="I186" s="17">
        <v>1363.09</v>
      </c>
      <c r="J186" s="6">
        <v>5.0</v>
      </c>
      <c r="K186" s="17">
        <v>6815.45</v>
      </c>
      <c r="L186" s="2" t="s">
        <v>619</v>
      </c>
      <c r="M186" s="2" t="s">
        <v>620</v>
      </c>
      <c r="N186" s="2" t="s">
        <v>621</v>
      </c>
    </row>
    <row r="187" ht="15.75" customHeight="1">
      <c r="A187" s="18">
        <v>45590.0</v>
      </c>
      <c r="B187" s="16" t="str">
        <f t="shared" si="1"/>
        <v>October</v>
      </c>
      <c r="C187" s="3" t="s">
        <v>29</v>
      </c>
      <c r="D187" s="2" t="str">
        <f t="shared" si="2"/>
        <v>Ciudad De Mexico</v>
      </c>
      <c r="E187" s="2" t="s">
        <v>49</v>
      </c>
      <c r="F187" s="2" t="str">
        <f>IFERROR(__xludf.DUMMYFUNCTION("SPLIT(E187, ""-"")"),"Tablet")</f>
        <v>Tablet</v>
      </c>
      <c r="G187" s="2" t="str">
        <f>IFERROR(__xludf.DUMMYFUNCTION("""COMPUTED_VALUE"""),"Estándar")</f>
        <v>Estándar</v>
      </c>
      <c r="H187" s="2" t="str">
        <f>IFERROR(__xludf.DUMMYFUNCTION("""COMPUTED_VALUE"""),"32GB")</f>
        <v>32GB</v>
      </c>
      <c r="I187" s="17">
        <v>1468.39</v>
      </c>
      <c r="J187" s="6">
        <v>1.0</v>
      </c>
      <c r="K187" s="17">
        <v>1468.39</v>
      </c>
      <c r="L187" s="2" t="s">
        <v>622</v>
      </c>
      <c r="M187" s="2" t="s">
        <v>623</v>
      </c>
      <c r="N187" s="2" t="s">
        <v>624</v>
      </c>
    </row>
    <row r="188" ht="15.75" customHeight="1">
      <c r="A188" s="18">
        <v>45590.0</v>
      </c>
      <c r="B188" s="16" t="str">
        <f t="shared" si="1"/>
        <v>October</v>
      </c>
      <c r="C188" s="2" t="s">
        <v>34</v>
      </c>
      <c r="D188" s="2" t="str">
        <f t="shared" si="2"/>
        <v>Medellín</v>
      </c>
      <c r="E188" s="2" t="s">
        <v>279</v>
      </c>
      <c r="F188" s="2" t="str">
        <f>IFERROR(__xludf.DUMMYFUNCTION("SPLIT(E188, ""-"")"),"Tablet")</f>
        <v>Tablet</v>
      </c>
      <c r="G188" s="2" t="str">
        <f>IFERROR(__xludf.DUMMYFUNCTION("""COMPUTED_VALUE"""),"Pro")</f>
        <v>Pro</v>
      </c>
      <c r="H188" s="2" t="str">
        <f>IFERROR(__xludf.DUMMYFUNCTION("""COMPUTED_VALUE"""),"16GB")</f>
        <v>16GB</v>
      </c>
      <c r="I188" s="17">
        <v>1823.15</v>
      </c>
      <c r="J188" s="6">
        <v>5.0</v>
      </c>
      <c r="K188" s="17">
        <v>9115.75</v>
      </c>
      <c r="L188" s="2" t="s">
        <v>625</v>
      </c>
      <c r="M188" s="2" t="s">
        <v>626</v>
      </c>
      <c r="N188" s="2" t="s">
        <v>627</v>
      </c>
    </row>
    <row r="189" ht="15.75" customHeight="1">
      <c r="A189" s="18">
        <v>45590.0</v>
      </c>
      <c r="B189" s="16" t="str">
        <f t="shared" si="1"/>
        <v>October</v>
      </c>
      <c r="C189" s="2" t="s">
        <v>57</v>
      </c>
      <c r="D189" s="2" t="str">
        <f t="shared" si="2"/>
        <v>Guadalajara</v>
      </c>
      <c r="E189" s="2" t="s">
        <v>427</v>
      </c>
      <c r="F189" s="2" t="str">
        <f>IFERROR(__xludf.DUMMYFUNCTION("SPLIT(E189, ""-"")"),"Teléfono")</f>
        <v>Teléfono</v>
      </c>
      <c r="G189" s="2" t="str">
        <f>IFERROR(__xludf.DUMMYFUNCTION("""COMPUTED_VALUE"""),"Gama alta")</f>
        <v>Gama alta</v>
      </c>
      <c r="H189" s="2" t="str">
        <f>IFERROR(__xludf.DUMMYFUNCTION("""COMPUTED_VALUE"""),"4GB")</f>
        <v>4GB</v>
      </c>
      <c r="I189" s="17">
        <v>2242.64</v>
      </c>
      <c r="J189" s="6">
        <v>4.0</v>
      </c>
      <c r="K189" s="17">
        <v>8970.56</v>
      </c>
      <c r="L189" s="2" t="s">
        <v>628</v>
      </c>
      <c r="M189" s="2" t="s">
        <v>629</v>
      </c>
      <c r="N189" s="2" t="s">
        <v>630</v>
      </c>
    </row>
    <row r="190" ht="15.75" customHeight="1">
      <c r="A190" s="18">
        <v>45590.0</v>
      </c>
      <c r="B190" s="16" t="str">
        <f t="shared" si="1"/>
        <v>October</v>
      </c>
      <c r="C190" s="2" t="s">
        <v>57</v>
      </c>
      <c r="D190" s="2" t="str">
        <f t="shared" si="2"/>
        <v>Guadalajara</v>
      </c>
      <c r="E190" s="2" t="s">
        <v>427</v>
      </c>
      <c r="F190" s="2" t="str">
        <f>IFERROR(__xludf.DUMMYFUNCTION("SPLIT(E190, ""-"")"),"Teléfono")</f>
        <v>Teléfono</v>
      </c>
      <c r="G190" s="2" t="str">
        <f>IFERROR(__xludf.DUMMYFUNCTION("""COMPUTED_VALUE"""),"Gama alta")</f>
        <v>Gama alta</v>
      </c>
      <c r="H190" s="2" t="str">
        <f>IFERROR(__xludf.DUMMYFUNCTION("""COMPUTED_VALUE"""),"4GB")</f>
        <v>4GB</v>
      </c>
      <c r="I190" s="17">
        <v>1260.9</v>
      </c>
      <c r="J190" s="6">
        <v>3.0</v>
      </c>
      <c r="K190" s="17">
        <v>3782.7</v>
      </c>
      <c r="L190" s="2" t="s">
        <v>631</v>
      </c>
      <c r="M190" s="2" t="s">
        <v>632</v>
      </c>
      <c r="N190" s="2" t="s">
        <v>633</v>
      </c>
    </row>
    <row r="191" ht="15.75" customHeight="1">
      <c r="A191" s="18">
        <v>45590.0</v>
      </c>
      <c r="B191" s="16" t="str">
        <f t="shared" si="1"/>
        <v>October</v>
      </c>
      <c r="C191" s="2" t="s">
        <v>57</v>
      </c>
      <c r="D191" s="2" t="str">
        <f t="shared" si="2"/>
        <v>Guadalajara</v>
      </c>
      <c r="E191" s="2" t="s">
        <v>58</v>
      </c>
      <c r="F191" s="2" t="str">
        <f>IFERROR(__xludf.DUMMYFUNCTION("SPLIT(E191, ""-"")"),"Auriculares")</f>
        <v>Auriculares</v>
      </c>
      <c r="G191" s="2" t="str">
        <f>IFERROR(__xludf.DUMMYFUNCTION("""COMPUTED_VALUE"""),"Bluetooth")</f>
        <v>Bluetooth</v>
      </c>
      <c r="H191" s="2" t="str">
        <f>IFERROR(__xludf.DUMMYFUNCTION("""COMPUTED_VALUE"""),"4GB")</f>
        <v>4GB</v>
      </c>
      <c r="I191" s="17">
        <v>2382.64</v>
      </c>
      <c r="J191" s="6">
        <v>4.0</v>
      </c>
      <c r="K191" s="17">
        <v>9530.56</v>
      </c>
      <c r="L191" s="2" t="s">
        <v>634</v>
      </c>
      <c r="M191" s="2" t="s">
        <v>635</v>
      </c>
      <c r="N191" s="2" t="s">
        <v>636</v>
      </c>
    </row>
    <row r="192" ht="15.75" customHeight="1">
      <c r="A192" s="18">
        <v>45591.0</v>
      </c>
      <c r="B192" s="16" t="str">
        <f t="shared" si="1"/>
        <v>October</v>
      </c>
      <c r="C192" s="2" t="s">
        <v>14</v>
      </c>
      <c r="D192" s="2" t="str">
        <f t="shared" si="2"/>
        <v>Bogotá</v>
      </c>
      <c r="E192" s="2" t="s">
        <v>637</v>
      </c>
      <c r="F192" s="2" t="str">
        <f>IFERROR(__xludf.DUMMYFUNCTION("SPLIT(E192, ""-"")"),"Teléfono")</f>
        <v>Teléfono</v>
      </c>
      <c r="G192" s="2" t="str">
        <f>IFERROR(__xludf.DUMMYFUNCTION("""COMPUTED_VALUE"""),"Gama baja")</f>
        <v>Gama baja</v>
      </c>
      <c r="H192" s="2" t="str">
        <f>IFERROR(__xludf.DUMMYFUNCTION("""COMPUTED_VALUE"""),"32GB ")</f>
        <v>32GB </v>
      </c>
      <c r="I192" s="17">
        <v>919.0</v>
      </c>
      <c r="J192" s="6">
        <v>5.0</v>
      </c>
      <c r="K192" s="17">
        <v>4595.0</v>
      </c>
      <c r="L192" s="2" t="s">
        <v>638</v>
      </c>
      <c r="M192" s="2" t="s">
        <v>639</v>
      </c>
      <c r="N192" s="2" t="s">
        <v>640</v>
      </c>
    </row>
    <row r="193" ht="15.75" customHeight="1">
      <c r="A193" s="18">
        <v>45591.0</v>
      </c>
      <c r="B193" s="16" t="str">
        <f t="shared" si="1"/>
        <v>October</v>
      </c>
      <c r="C193" s="2" t="s">
        <v>14</v>
      </c>
      <c r="D193" s="2" t="str">
        <f t="shared" si="2"/>
        <v>Bogotá</v>
      </c>
      <c r="E193" s="2" t="s">
        <v>366</v>
      </c>
      <c r="F193" s="2" t="str">
        <f>IFERROR(__xludf.DUMMYFUNCTION("SPLIT(E193, ""-"")"),"Auriculares")</f>
        <v>Auriculares</v>
      </c>
      <c r="G193" s="2" t="str">
        <f>IFERROR(__xludf.DUMMYFUNCTION("""COMPUTED_VALUE"""),"Con cable")</f>
        <v>Con cable</v>
      </c>
      <c r="H193" s="2" t="str">
        <f>IFERROR(__xludf.DUMMYFUNCTION("""COMPUTED_VALUE"""),"4GB")</f>
        <v>4GB</v>
      </c>
      <c r="I193" s="17">
        <v>1631.22</v>
      </c>
      <c r="J193" s="6">
        <v>5.0</v>
      </c>
      <c r="K193" s="17">
        <v>8156.1</v>
      </c>
      <c r="L193" s="2" t="s">
        <v>641</v>
      </c>
      <c r="M193" s="2" t="s">
        <v>642</v>
      </c>
      <c r="N193" s="2" t="s">
        <v>643</v>
      </c>
    </row>
    <row r="194" ht="15.75" customHeight="1">
      <c r="A194" s="18">
        <v>45591.0</v>
      </c>
      <c r="B194" s="16" t="str">
        <f t="shared" si="1"/>
        <v>October</v>
      </c>
      <c r="C194" s="2" t="s">
        <v>14</v>
      </c>
      <c r="D194" s="2" t="str">
        <f t="shared" si="2"/>
        <v>Bogotá</v>
      </c>
      <c r="E194" s="2" t="s">
        <v>70</v>
      </c>
      <c r="F194" s="2" t="str">
        <f>IFERROR(__xludf.DUMMYFUNCTION("SPLIT(E194, ""-"")"),"Auriculares")</f>
        <v>Auriculares</v>
      </c>
      <c r="G194" s="2" t="str">
        <f>IFERROR(__xludf.DUMMYFUNCTION("""COMPUTED_VALUE"""),"Bluetooth")</f>
        <v>Bluetooth</v>
      </c>
      <c r="H194" s="2" t="str">
        <f>IFERROR(__xludf.DUMMYFUNCTION("""COMPUTED_VALUE"""),"16GB")</f>
        <v>16GB</v>
      </c>
      <c r="I194" s="17">
        <v>2101.18</v>
      </c>
      <c r="J194" s="6">
        <v>4.0</v>
      </c>
      <c r="K194" s="17">
        <v>8404.72</v>
      </c>
      <c r="L194" s="2" t="s">
        <v>644</v>
      </c>
      <c r="M194" s="2" t="s">
        <v>645</v>
      </c>
      <c r="N194" s="2" t="s">
        <v>646</v>
      </c>
    </row>
    <row r="195" ht="15.75" customHeight="1">
      <c r="A195" s="18">
        <v>45591.0</v>
      </c>
      <c r="B195" s="16" t="str">
        <f t="shared" si="1"/>
        <v>October</v>
      </c>
      <c r="C195" s="2" t="s">
        <v>14</v>
      </c>
      <c r="D195" s="2" t="str">
        <f t="shared" si="2"/>
        <v>Bogotá</v>
      </c>
      <c r="E195" s="2" t="s">
        <v>341</v>
      </c>
      <c r="F195" s="2" t="str">
        <f>IFERROR(__xludf.DUMMYFUNCTION("SPLIT(E195, ""-"")"),"Laptop")</f>
        <v>Laptop</v>
      </c>
      <c r="G195" s="2" t="str">
        <f>IFERROR(__xludf.DUMMYFUNCTION("""COMPUTED_VALUE"""),"Ultraliviana")</f>
        <v>Ultraliviana</v>
      </c>
      <c r="H195" s="2" t="str">
        <f>IFERROR(__xludf.DUMMYFUNCTION("""COMPUTED_VALUE"""),"8GB")</f>
        <v>8GB</v>
      </c>
      <c r="I195" s="17">
        <v>1868.91</v>
      </c>
      <c r="J195" s="6">
        <v>5.0</v>
      </c>
      <c r="K195" s="17">
        <v>9344.55</v>
      </c>
      <c r="L195" s="2" t="s">
        <v>647</v>
      </c>
      <c r="M195" s="2" t="s">
        <v>648</v>
      </c>
      <c r="N195" s="2" t="s">
        <v>649</v>
      </c>
    </row>
    <row r="196" ht="15.75" customHeight="1">
      <c r="A196" s="18">
        <v>45591.0</v>
      </c>
      <c r="B196" s="16" t="str">
        <f t="shared" si="1"/>
        <v>October</v>
      </c>
      <c r="C196" s="2" t="s">
        <v>14</v>
      </c>
      <c r="D196" s="2" t="str">
        <f t="shared" si="2"/>
        <v>Bogotá</v>
      </c>
      <c r="E196" s="2" t="s">
        <v>10</v>
      </c>
      <c r="F196" s="2" t="str">
        <f>IFERROR(__xludf.DUMMYFUNCTION("SPLIT(E196, ""-"")"),"Tablet")</f>
        <v>Tablet</v>
      </c>
      <c r="G196" s="2" t="str">
        <f>IFERROR(__xludf.DUMMYFUNCTION("""COMPUTED_VALUE"""),"Estándar")</f>
        <v>Estándar</v>
      </c>
      <c r="H196" s="2" t="str">
        <f>IFERROR(__xludf.DUMMYFUNCTION("""COMPUTED_VALUE"""),"8GB")</f>
        <v>8GB</v>
      </c>
      <c r="I196" s="17">
        <v>1898.24</v>
      </c>
      <c r="J196" s="6">
        <v>1.0</v>
      </c>
      <c r="K196" s="17">
        <v>1898.24</v>
      </c>
      <c r="L196" s="2" t="s">
        <v>650</v>
      </c>
      <c r="M196" s="2" t="s">
        <v>651</v>
      </c>
      <c r="N196" s="2" t="s">
        <v>652</v>
      </c>
    </row>
    <row r="197" ht="15.75" customHeight="1">
      <c r="A197" s="18">
        <v>45591.0</v>
      </c>
      <c r="B197" s="16" t="str">
        <f t="shared" si="1"/>
        <v>October</v>
      </c>
      <c r="C197" s="2" t="s">
        <v>74</v>
      </c>
      <c r="D197" s="2" t="str">
        <f t="shared" si="2"/>
        <v>Cali</v>
      </c>
      <c r="E197" s="2" t="s">
        <v>119</v>
      </c>
      <c r="F197" s="2" t="str">
        <f>IFERROR(__xludf.DUMMYFUNCTION("SPLIT(E197, ""-"")"),"Teléfono")</f>
        <v>Teléfono</v>
      </c>
      <c r="G197" s="2" t="str">
        <f>IFERROR(__xludf.DUMMYFUNCTION("""COMPUTED_VALUE"""),"Gama alta")</f>
        <v>Gama alta</v>
      </c>
      <c r="H197" s="2" t="str">
        <f>IFERROR(__xludf.DUMMYFUNCTION("""COMPUTED_VALUE"""),"8GB")</f>
        <v>8GB</v>
      </c>
      <c r="I197" s="17">
        <v>611.99</v>
      </c>
      <c r="J197" s="6">
        <v>2.0</v>
      </c>
      <c r="K197" s="17">
        <v>1223.98</v>
      </c>
      <c r="L197" s="2" t="s">
        <v>653</v>
      </c>
      <c r="M197" s="2" t="s">
        <v>654</v>
      </c>
      <c r="N197" s="2" t="s">
        <v>655</v>
      </c>
    </row>
    <row r="198" ht="15.75" customHeight="1">
      <c r="A198" s="18">
        <v>45591.0</v>
      </c>
      <c r="B198" s="16" t="str">
        <f t="shared" si="1"/>
        <v>October</v>
      </c>
      <c r="C198" s="2" t="s">
        <v>74</v>
      </c>
      <c r="D198" s="2" t="str">
        <f t="shared" si="2"/>
        <v>Cali</v>
      </c>
      <c r="E198" s="21" t="s">
        <v>2340</v>
      </c>
      <c r="F198" s="2" t="str">
        <f>IFERROR(__xludf.DUMMYFUNCTION("SPLIT(E198, ""-"")"),"Teléfono")</f>
        <v>Teléfono</v>
      </c>
      <c r="G198" s="2" t="str">
        <f>IFERROR(__xludf.DUMMYFUNCTION("""COMPUTED_VALUE"""),"Gama media")</f>
        <v>Gama media</v>
      </c>
      <c r="H198" s="2" t="str">
        <f>IFERROR(__xludf.DUMMYFUNCTION("""COMPUTED_VALUE"""),"8GB")</f>
        <v>8GB</v>
      </c>
      <c r="I198" s="17">
        <v>403.48</v>
      </c>
      <c r="J198" s="6">
        <v>2.0</v>
      </c>
      <c r="K198" s="17">
        <v>806.96</v>
      </c>
      <c r="L198" s="2" t="s">
        <v>656</v>
      </c>
      <c r="M198" s="2" t="s">
        <v>657</v>
      </c>
      <c r="N198" s="2" t="s">
        <v>658</v>
      </c>
    </row>
    <row r="199" ht="15.75" customHeight="1">
      <c r="A199" s="18">
        <v>45591.0</v>
      </c>
      <c r="B199" s="16" t="str">
        <f t="shared" si="1"/>
        <v>October</v>
      </c>
      <c r="C199" s="2" t="s">
        <v>74</v>
      </c>
      <c r="D199" s="2" t="str">
        <f t="shared" si="2"/>
        <v>Cali</v>
      </c>
      <c r="E199" s="2" t="s">
        <v>88</v>
      </c>
      <c r="F199" s="2" t="str">
        <f>IFERROR(__xludf.DUMMYFUNCTION("SPLIT(E199, ""-"")"),"Laptop")</f>
        <v>Laptop</v>
      </c>
      <c r="G199" s="2" t="str">
        <f>IFERROR(__xludf.DUMMYFUNCTION("""COMPUTED_VALUE"""),"Gaming")</f>
        <v>Gaming</v>
      </c>
      <c r="H199" s="2" t="str">
        <f>IFERROR(__xludf.DUMMYFUNCTION("""COMPUTED_VALUE"""),"32GB")</f>
        <v>32GB</v>
      </c>
      <c r="I199" s="17">
        <v>724.28</v>
      </c>
      <c r="J199" s="6">
        <v>4.0</v>
      </c>
      <c r="K199" s="17">
        <v>2897.12</v>
      </c>
      <c r="L199" s="2" t="s">
        <v>659</v>
      </c>
      <c r="M199" s="2" t="s">
        <v>660</v>
      </c>
      <c r="N199" s="2" t="s">
        <v>661</v>
      </c>
    </row>
    <row r="200" ht="15.75" customHeight="1">
      <c r="A200" s="18">
        <v>45591.0</v>
      </c>
      <c r="B200" s="16" t="str">
        <f t="shared" si="1"/>
        <v>October</v>
      </c>
      <c r="C200" s="2" t="s">
        <v>34</v>
      </c>
      <c r="D200" s="2" t="str">
        <f t="shared" si="2"/>
        <v>Medellín</v>
      </c>
      <c r="E200" s="2" t="s">
        <v>662</v>
      </c>
      <c r="F200" s="2" t="str">
        <f>IFERROR(__xludf.DUMMYFUNCTION("SPLIT(E200, ""-"")"),"Auriculares")</f>
        <v>Auriculares</v>
      </c>
      <c r="G200" s="2" t="str">
        <f>IFERROR(__xludf.DUMMYFUNCTION("""COMPUTED_VALUE"""),"Cancelación de ruido")</f>
        <v>Cancelación de ruido</v>
      </c>
      <c r="H200" s="2" t="str">
        <f>IFERROR(__xludf.DUMMYFUNCTION("""COMPUTED_VALUE"""),"32GB")</f>
        <v>32GB</v>
      </c>
      <c r="I200" s="17">
        <v>174.28</v>
      </c>
      <c r="J200" s="6">
        <v>1.0</v>
      </c>
      <c r="K200" s="17">
        <v>174.28</v>
      </c>
      <c r="L200" s="2" t="s">
        <v>663</v>
      </c>
      <c r="M200" s="2" t="s">
        <v>664</v>
      </c>
      <c r="N200" s="2" t="s">
        <v>665</v>
      </c>
    </row>
    <row r="201" ht="15.75" customHeight="1">
      <c r="A201" s="18">
        <v>45592.0</v>
      </c>
      <c r="B201" s="16" t="str">
        <f t="shared" si="1"/>
        <v>October</v>
      </c>
      <c r="C201" s="2" t="s">
        <v>74</v>
      </c>
      <c r="D201" s="2" t="str">
        <f t="shared" si="2"/>
        <v>Cali</v>
      </c>
      <c r="E201" s="2" t="s">
        <v>169</v>
      </c>
      <c r="F201" s="2" t="str">
        <f>IFERROR(__xludf.DUMMYFUNCTION("SPLIT(E201, ""-"")"),"Teléfono")</f>
        <v>Teléfono</v>
      </c>
      <c r="G201" s="2" t="str">
        <f>IFERROR(__xludf.DUMMYFUNCTION("""COMPUTED_VALUE"""),"Gama baja")</f>
        <v>Gama baja</v>
      </c>
      <c r="H201" s="2" t="str">
        <f>IFERROR(__xludf.DUMMYFUNCTION("""COMPUTED_VALUE"""),"4GB")</f>
        <v>4GB</v>
      </c>
      <c r="I201" s="17">
        <v>273.42</v>
      </c>
      <c r="J201" s="6">
        <v>4.0</v>
      </c>
      <c r="K201" s="17">
        <v>1093.68</v>
      </c>
      <c r="L201" s="2" t="s">
        <v>666</v>
      </c>
      <c r="M201" s="2" t="s">
        <v>667</v>
      </c>
      <c r="N201" s="2" t="s">
        <v>668</v>
      </c>
    </row>
    <row r="202" ht="15.75" customHeight="1">
      <c r="A202" s="18">
        <v>45592.0</v>
      </c>
      <c r="B202" s="16" t="str">
        <f t="shared" si="1"/>
        <v>October</v>
      </c>
      <c r="C202" s="3" t="s">
        <v>29</v>
      </c>
      <c r="D202" s="2" t="str">
        <f t="shared" si="2"/>
        <v>Ciudad De Mexico</v>
      </c>
      <c r="E202" s="2" t="s">
        <v>366</v>
      </c>
      <c r="F202" s="2" t="str">
        <f>IFERROR(__xludf.DUMMYFUNCTION("SPLIT(E202, ""-"")"),"Auriculares")</f>
        <v>Auriculares</v>
      </c>
      <c r="G202" s="2" t="str">
        <f>IFERROR(__xludf.DUMMYFUNCTION("""COMPUTED_VALUE"""),"Con cable")</f>
        <v>Con cable</v>
      </c>
      <c r="H202" s="2" t="str">
        <f>IFERROR(__xludf.DUMMYFUNCTION("""COMPUTED_VALUE"""),"4GB")</f>
        <v>4GB</v>
      </c>
      <c r="I202" s="17">
        <v>1437.75</v>
      </c>
      <c r="J202" s="6">
        <v>5.0</v>
      </c>
      <c r="K202" s="17">
        <v>7188.75</v>
      </c>
      <c r="L202" s="2" t="s">
        <v>669</v>
      </c>
      <c r="M202" s="2" t="s">
        <v>670</v>
      </c>
      <c r="N202" s="2" t="s">
        <v>671</v>
      </c>
    </row>
    <row r="203" ht="15.75" customHeight="1">
      <c r="A203" s="18">
        <v>45592.0</v>
      </c>
      <c r="B203" s="16" t="str">
        <f t="shared" si="1"/>
        <v>October</v>
      </c>
      <c r="C203" s="2" t="s">
        <v>14</v>
      </c>
      <c r="D203" s="2" t="str">
        <f t="shared" si="2"/>
        <v>Bogotá</v>
      </c>
      <c r="E203" s="2" t="s">
        <v>35</v>
      </c>
      <c r="F203" s="2" t="str">
        <f>IFERROR(__xludf.DUMMYFUNCTION("SPLIT(E203, ""-"")"),"Tablet")</f>
        <v>Tablet</v>
      </c>
      <c r="G203" s="2" t="str">
        <f>IFERROR(__xludf.DUMMYFUNCTION("""COMPUTED_VALUE"""),"Pro")</f>
        <v>Pro</v>
      </c>
      <c r="H203" s="2" t="str">
        <f>IFERROR(__xludf.DUMMYFUNCTION("""COMPUTED_VALUE"""),"4GB")</f>
        <v>4GB</v>
      </c>
      <c r="I203" s="17">
        <v>1092.45</v>
      </c>
      <c r="J203" s="6">
        <v>3.0</v>
      </c>
      <c r="K203" s="17">
        <v>3277.35</v>
      </c>
      <c r="L203" s="2" t="s">
        <v>672</v>
      </c>
      <c r="M203" s="2" t="s">
        <v>673</v>
      </c>
      <c r="N203" s="2" t="s">
        <v>674</v>
      </c>
    </row>
    <row r="204" ht="15.75" customHeight="1">
      <c r="A204" s="18">
        <v>45592.0</v>
      </c>
      <c r="B204" s="16" t="str">
        <f t="shared" si="1"/>
        <v>October</v>
      </c>
      <c r="C204" s="3" t="s">
        <v>29</v>
      </c>
      <c r="D204" s="2" t="str">
        <f t="shared" si="2"/>
        <v>Ciudad De Mexico</v>
      </c>
      <c r="E204" s="2" t="s">
        <v>79</v>
      </c>
      <c r="F204" s="2" t="str">
        <f>IFERROR(__xludf.DUMMYFUNCTION("SPLIT(E204, ""-"")"),"Laptop")</f>
        <v>Laptop</v>
      </c>
      <c r="G204" s="2" t="str">
        <f>IFERROR(__xludf.DUMMYFUNCTION("""COMPUTED_VALUE"""),"Oficina")</f>
        <v>Oficina</v>
      </c>
      <c r="H204" s="2" t="str">
        <f>IFERROR(__xludf.DUMMYFUNCTION("""COMPUTED_VALUE"""),"16GB")</f>
        <v>16GB</v>
      </c>
      <c r="I204" s="17">
        <v>233.85</v>
      </c>
      <c r="J204" s="6">
        <v>3.0</v>
      </c>
      <c r="K204" s="17">
        <v>701.55</v>
      </c>
      <c r="L204" s="2" t="s">
        <v>675</v>
      </c>
      <c r="M204" s="2" t="s">
        <v>676</v>
      </c>
      <c r="N204" s="2" t="s">
        <v>677</v>
      </c>
    </row>
    <row r="205" ht="15.75" customHeight="1">
      <c r="A205" s="18">
        <v>45592.0</v>
      </c>
      <c r="B205" s="16" t="str">
        <f t="shared" si="1"/>
        <v>October</v>
      </c>
      <c r="C205" s="2" t="s">
        <v>34</v>
      </c>
      <c r="D205" s="2" t="str">
        <f t="shared" si="2"/>
        <v>Medellín</v>
      </c>
      <c r="E205" s="2" t="s">
        <v>10</v>
      </c>
      <c r="F205" s="2" t="str">
        <f>IFERROR(__xludf.DUMMYFUNCTION("SPLIT(E205, ""-"")"),"Tablet")</f>
        <v>Tablet</v>
      </c>
      <c r="G205" s="2" t="str">
        <f>IFERROR(__xludf.DUMMYFUNCTION("""COMPUTED_VALUE"""),"Estándar")</f>
        <v>Estándar</v>
      </c>
      <c r="H205" s="2" t="str">
        <f>IFERROR(__xludf.DUMMYFUNCTION("""COMPUTED_VALUE"""),"8GB")</f>
        <v>8GB</v>
      </c>
      <c r="I205" s="17">
        <v>832.37</v>
      </c>
      <c r="J205" s="6">
        <v>2.0</v>
      </c>
      <c r="K205" s="17">
        <v>1664.74</v>
      </c>
      <c r="L205" s="2" t="s">
        <v>678</v>
      </c>
      <c r="M205" s="2" t="s">
        <v>679</v>
      </c>
      <c r="N205" s="2" t="s">
        <v>680</v>
      </c>
    </row>
    <row r="206" ht="15.75" customHeight="1">
      <c r="A206" s="18">
        <v>45592.0</v>
      </c>
      <c r="B206" s="16" t="str">
        <f t="shared" si="1"/>
        <v>October</v>
      </c>
      <c r="C206" s="2" t="s">
        <v>34</v>
      </c>
      <c r="D206" s="2" t="str">
        <f t="shared" si="2"/>
        <v>Medellín</v>
      </c>
      <c r="E206" s="2" t="s">
        <v>62</v>
      </c>
      <c r="F206" s="2" t="str">
        <f>IFERROR(__xludf.DUMMYFUNCTION("SPLIT(E206, ""-"")"),"Laptop")</f>
        <v>Laptop</v>
      </c>
      <c r="G206" s="2" t="str">
        <f>IFERROR(__xludf.DUMMYFUNCTION("""COMPUTED_VALUE"""),"Ultraliviana")</f>
        <v>Ultraliviana</v>
      </c>
      <c r="H206" s="2" t="str">
        <f>IFERROR(__xludf.DUMMYFUNCTION("""COMPUTED_VALUE"""),"4GB")</f>
        <v>4GB</v>
      </c>
      <c r="I206" s="17">
        <v>755.38</v>
      </c>
      <c r="J206" s="6">
        <v>4.0</v>
      </c>
      <c r="K206" s="17">
        <v>3021.52</v>
      </c>
      <c r="L206" s="2" t="s">
        <v>681</v>
      </c>
      <c r="M206" s="2" t="s">
        <v>682</v>
      </c>
      <c r="N206" s="2" t="s">
        <v>683</v>
      </c>
    </row>
    <row r="207" ht="15.75" customHeight="1">
      <c r="A207" s="18">
        <v>45592.0</v>
      </c>
      <c r="B207" s="16" t="str">
        <f t="shared" si="1"/>
        <v>October</v>
      </c>
      <c r="C207" s="3" t="s">
        <v>29</v>
      </c>
      <c r="D207" s="2" t="str">
        <f t="shared" si="2"/>
        <v>Ciudad De Mexico</v>
      </c>
      <c r="E207" s="2" t="s">
        <v>83</v>
      </c>
      <c r="F207" s="2" t="str">
        <f>IFERROR(__xludf.DUMMYFUNCTION("SPLIT(E207, ""-"")"),"Teléfono")</f>
        <v>Teléfono</v>
      </c>
      <c r="G207" s="2" t="str">
        <f>IFERROR(__xludf.DUMMYFUNCTION("""COMPUTED_VALUE"""),"Gama media")</f>
        <v>Gama media</v>
      </c>
      <c r="H207" s="2" t="str">
        <f>IFERROR(__xludf.DUMMYFUNCTION("""COMPUTED_VALUE"""),"32GB")</f>
        <v>32GB</v>
      </c>
      <c r="I207" s="17">
        <v>1237.66</v>
      </c>
      <c r="J207" s="6">
        <v>1.0</v>
      </c>
      <c r="K207" s="17">
        <v>1237.66</v>
      </c>
      <c r="L207" s="2" t="s">
        <v>684</v>
      </c>
      <c r="M207" s="2" t="s">
        <v>685</v>
      </c>
      <c r="N207" s="2" t="s">
        <v>686</v>
      </c>
    </row>
    <row r="208" ht="15.75" customHeight="1">
      <c r="A208" s="18">
        <v>45592.0</v>
      </c>
      <c r="B208" s="16" t="str">
        <f t="shared" si="1"/>
        <v>October</v>
      </c>
      <c r="C208" s="2" t="s">
        <v>57</v>
      </c>
      <c r="D208" s="2" t="str">
        <f t="shared" si="2"/>
        <v>Guadalajara</v>
      </c>
      <c r="E208" s="2" t="s">
        <v>662</v>
      </c>
      <c r="F208" s="2" t="str">
        <f>IFERROR(__xludf.DUMMYFUNCTION("SPLIT(E208, ""-"")"),"Auriculares")</f>
        <v>Auriculares</v>
      </c>
      <c r="G208" s="2" t="str">
        <f>IFERROR(__xludf.DUMMYFUNCTION("""COMPUTED_VALUE"""),"Cancelación de ruido")</f>
        <v>Cancelación de ruido</v>
      </c>
      <c r="H208" s="2" t="str">
        <f>IFERROR(__xludf.DUMMYFUNCTION("""COMPUTED_VALUE"""),"32GB")</f>
        <v>32GB</v>
      </c>
      <c r="I208" s="17">
        <v>986.08</v>
      </c>
      <c r="J208" s="6">
        <v>4.0</v>
      </c>
      <c r="K208" s="17">
        <v>3944.32</v>
      </c>
      <c r="L208" s="2" t="s">
        <v>687</v>
      </c>
      <c r="M208" s="2" t="s">
        <v>688</v>
      </c>
      <c r="N208" s="2" t="s">
        <v>689</v>
      </c>
    </row>
    <row r="209" ht="15.75" customHeight="1">
      <c r="A209" s="18">
        <v>45592.0</v>
      </c>
      <c r="B209" s="16" t="str">
        <f t="shared" si="1"/>
        <v>October</v>
      </c>
      <c r="C209" s="3" t="s">
        <v>29</v>
      </c>
      <c r="D209" s="2" t="str">
        <f t="shared" si="2"/>
        <v>Ciudad De Mexico</v>
      </c>
      <c r="E209" s="2" t="s">
        <v>22</v>
      </c>
      <c r="F209" s="2" t="str">
        <f>IFERROR(__xludf.DUMMYFUNCTION("SPLIT(E209, ""-"")"),"Tablet")</f>
        <v>Tablet</v>
      </c>
      <c r="G209" s="2" t="str">
        <f>IFERROR(__xludf.DUMMYFUNCTION("""COMPUTED_VALUE"""),"Estándar")</f>
        <v>Estándar</v>
      </c>
      <c r="H209" s="2" t="str">
        <f>IFERROR(__xludf.DUMMYFUNCTION("""COMPUTED_VALUE"""),"16GB")</f>
        <v>16GB</v>
      </c>
      <c r="I209" s="17">
        <v>1984.42</v>
      </c>
      <c r="J209" s="6">
        <v>4.0</v>
      </c>
      <c r="K209" s="17">
        <v>7937.68</v>
      </c>
      <c r="L209" s="2" t="s">
        <v>690</v>
      </c>
      <c r="M209" s="2" t="s">
        <v>691</v>
      </c>
      <c r="N209" s="2" t="s">
        <v>692</v>
      </c>
    </row>
    <row r="210" ht="15.75" customHeight="1">
      <c r="A210" s="18">
        <v>45593.0</v>
      </c>
      <c r="B210" s="16" t="str">
        <f t="shared" si="1"/>
        <v>October</v>
      </c>
      <c r="C210" s="2" t="s">
        <v>57</v>
      </c>
      <c r="D210" s="2" t="str">
        <f t="shared" si="2"/>
        <v>Guadalajara</v>
      </c>
      <c r="E210" s="2" t="s">
        <v>427</v>
      </c>
      <c r="F210" s="2" t="str">
        <f>IFERROR(__xludf.DUMMYFUNCTION("SPLIT(E210, ""-"")"),"Teléfono")</f>
        <v>Teléfono</v>
      </c>
      <c r="G210" s="2" t="str">
        <f>IFERROR(__xludf.DUMMYFUNCTION("""COMPUTED_VALUE"""),"Gama alta")</f>
        <v>Gama alta</v>
      </c>
      <c r="H210" s="2" t="str">
        <f>IFERROR(__xludf.DUMMYFUNCTION("""COMPUTED_VALUE"""),"4GB")</f>
        <v>4GB</v>
      </c>
      <c r="I210" s="17">
        <v>1537.12</v>
      </c>
      <c r="J210" s="6">
        <v>2.0</v>
      </c>
      <c r="K210" s="17">
        <v>3074.24</v>
      </c>
      <c r="L210" s="2" t="s">
        <v>693</v>
      </c>
      <c r="M210" s="2" t="s">
        <v>694</v>
      </c>
      <c r="N210" s="2" t="s">
        <v>695</v>
      </c>
    </row>
    <row r="211" ht="15.75" customHeight="1">
      <c r="A211" s="18">
        <v>45593.0</v>
      </c>
      <c r="B211" s="16" t="str">
        <f t="shared" si="1"/>
        <v>October</v>
      </c>
      <c r="C211" s="3" t="s">
        <v>29</v>
      </c>
      <c r="D211" s="2" t="str">
        <f t="shared" si="2"/>
        <v>Ciudad De Mexico</v>
      </c>
      <c r="E211" s="2" t="s">
        <v>22</v>
      </c>
      <c r="F211" s="2" t="str">
        <f>IFERROR(__xludf.DUMMYFUNCTION("SPLIT(E211, ""-"")"),"Tablet")</f>
        <v>Tablet</v>
      </c>
      <c r="G211" s="2" t="str">
        <f>IFERROR(__xludf.DUMMYFUNCTION("""COMPUTED_VALUE"""),"Estándar")</f>
        <v>Estándar</v>
      </c>
      <c r="H211" s="2" t="str">
        <f>IFERROR(__xludf.DUMMYFUNCTION("""COMPUTED_VALUE"""),"16GB")</f>
        <v>16GB</v>
      </c>
      <c r="I211" s="17">
        <v>1832.39</v>
      </c>
      <c r="J211" s="6">
        <v>4.0</v>
      </c>
      <c r="K211" s="17">
        <v>7329.56</v>
      </c>
      <c r="L211" s="2" t="s">
        <v>696</v>
      </c>
      <c r="M211" s="2" t="s">
        <v>697</v>
      </c>
      <c r="N211" s="2" t="s">
        <v>698</v>
      </c>
    </row>
    <row r="212" ht="15.75" customHeight="1">
      <c r="A212" s="18">
        <v>45593.0</v>
      </c>
      <c r="B212" s="16" t="str">
        <f t="shared" si="1"/>
        <v>October</v>
      </c>
      <c r="C212" s="2" t="s">
        <v>74</v>
      </c>
      <c r="D212" s="2" t="str">
        <f t="shared" si="2"/>
        <v>Cali</v>
      </c>
      <c r="E212" s="2" t="s">
        <v>161</v>
      </c>
      <c r="F212" s="2" t="str">
        <f>IFERROR(__xludf.DUMMYFUNCTION("SPLIT(E212, ""-"")"),"Laptop")</f>
        <v>Laptop</v>
      </c>
      <c r="G212" s="2" t="str">
        <f>IFERROR(__xludf.DUMMYFUNCTION("""COMPUTED_VALUE"""),"Oficina")</f>
        <v>Oficina</v>
      </c>
      <c r="H212" s="2" t="str">
        <f>IFERROR(__xludf.DUMMYFUNCTION("""COMPUTED_VALUE"""),"32GB")</f>
        <v>32GB</v>
      </c>
      <c r="I212" s="17">
        <v>1834.12</v>
      </c>
      <c r="J212" s="6">
        <v>1.0</v>
      </c>
      <c r="K212" s="17">
        <v>1834.12</v>
      </c>
      <c r="L212" s="2" t="s">
        <v>699</v>
      </c>
      <c r="M212" s="2" t="s">
        <v>700</v>
      </c>
      <c r="N212" s="2" t="s">
        <v>701</v>
      </c>
    </row>
    <row r="213" ht="15.75" customHeight="1">
      <c r="A213" s="18">
        <v>45593.0</v>
      </c>
      <c r="B213" s="16" t="str">
        <f t="shared" si="1"/>
        <v>October</v>
      </c>
      <c r="C213" s="2" t="s">
        <v>9</v>
      </c>
      <c r="D213" s="2" t="str">
        <f t="shared" si="2"/>
        <v>Monterrey</v>
      </c>
      <c r="E213" s="2" t="s">
        <v>183</v>
      </c>
      <c r="F213" s="2" t="str">
        <f>IFERROR(__xludf.DUMMYFUNCTION("SPLIT(E213, ""-"")"),"Auriculares")</f>
        <v>Auriculares</v>
      </c>
      <c r="G213" s="2" t="str">
        <f>IFERROR(__xludf.DUMMYFUNCTION("""COMPUTED_VALUE"""),"Cancelaci√≥n de ruido")</f>
        <v>Cancelaci√≥n de ruido</v>
      </c>
      <c r="H213" s="2" t="str">
        <f>IFERROR(__xludf.DUMMYFUNCTION("""COMPUTED_VALUE"""),"16GB")</f>
        <v>16GB</v>
      </c>
      <c r="I213" s="17">
        <v>1779.34</v>
      </c>
      <c r="J213" s="6">
        <v>3.0</v>
      </c>
      <c r="K213" s="17">
        <v>5338.02</v>
      </c>
      <c r="L213" s="2" t="s">
        <v>702</v>
      </c>
      <c r="M213" s="2" t="s">
        <v>703</v>
      </c>
      <c r="N213" s="2" t="s">
        <v>704</v>
      </c>
    </row>
    <row r="214" ht="15.75" customHeight="1">
      <c r="A214" s="18">
        <v>45593.0</v>
      </c>
      <c r="B214" s="16" t="str">
        <f t="shared" si="1"/>
        <v>October</v>
      </c>
      <c r="C214" s="3" t="s">
        <v>29</v>
      </c>
      <c r="D214" s="2" t="str">
        <f t="shared" si="2"/>
        <v>Ciudad De Mexico</v>
      </c>
      <c r="E214" s="2" t="s">
        <v>161</v>
      </c>
      <c r="F214" s="2" t="str">
        <f>IFERROR(__xludf.DUMMYFUNCTION("SPLIT(E214, ""-"")"),"Laptop")</f>
        <v>Laptop</v>
      </c>
      <c r="G214" s="2" t="str">
        <f>IFERROR(__xludf.DUMMYFUNCTION("""COMPUTED_VALUE"""),"Oficina")</f>
        <v>Oficina</v>
      </c>
      <c r="H214" s="2" t="str">
        <f>IFERROR(__xludf.DUMMYFUNCTION("""COMPUTED_VALUE"""),"32GB")</f>
        <v>32GB</v>
      </c>
      <c r="I214" s="17">
        <v>2484.65</v>
      </c>
      <c r="J214" s="6">
        <v>2.0</v>
      </c>
      <c r="K214" s="17">
        <v>4969.3</v>
      </c>
      <c r="L214" s="2" t="s">
        <v>705</v>
      </c>
      <c r="M214" s="2" t="s">
        <v>706</v>
      </c>
      <c r="N214" s="2" t="s">
        <v>707</v>
      </c>
    </row>
    <row r="215" ht="15.75" customHeight="1">
      <c r="A215" s="18">
        <v>45593.0</v>
      </c>
      <c r="B215" s="16" t="str">
        <f t="shared" si="1"/>
        <v>October</v>
      </c>
      <c r="C215" s="2" t="s">
        <v>34</v>
      </c>
      <c r="D215" s="2" t="str">
        <f t="shared" si="2"/>
        <v>Medellín</v>
      </c>
      <c r="E215" s="2" t="s">
        <v>222</v>
      </c>
      <c r="F215" s="2" t="str">
        <f>IFERROR(__xludf.DUMMYFUNCTION("SPLIT(E215, ""-"")"),"Laptop")</f>
        <v>Laptop</v>
      </c>
      <c r="G215" s="2" t="str">
        <f>IFERROR(__xludf.DUMMYFUNCTION("""COMPUTED_VALUE"""),"Gaming")</f>
        <v>Gaming</v>
      </c>
      <c r="H215" s="2" t="str">
        <f>IFERROR(__xludf.DUMMYFUNCTION("""COMPUTED_VALUE"""),"16GB")</f>
        <v>16GB</v>
      </c>
      <c r="I215" s="17">
        <v>371.09</v>
      </c>
      <c r="J215" s="6">
        <v>4.0</v>
      </c>
      <c r="K215" s="17">
        <v>1484.36</v>
      </c>
      <c r="L215" s="2" t="s">
        <v>708</v>
      </c>
      <c r="M215" s="2" t="s">
        <v>709</v>
      </c>
      <c r="N215" s="2" t="s">
        <v>710</v>
      </c>
    </row>
    <row r="216" ht="15.75" customHeight="1">
      <c r="A216" s="18">
        <v>45593.0</v>
      </c>
      <c r="B216" s="16" t="str">
        <f t="shared" si="1"/>
        <v>October</v>
      </c>
      <c r="C216" s="2" t="s">
        <v>14</v>
      </c>
      <c r="D216" s="2" t="str">
        <f t="shared" si="2"/>
        <v>Bogotá</v>
      </c>
      <c r="E216" s="2" t="s">
        <v>130</v>
      </c>
      <c r="F216" s="2" t="str">
        <f>IFERROR(__xludf.DUMMYFUNCTION("SPLIT(E216, ""-"")"),"Tablet")</f>
        <v>Tablet</v>
      </c>
      <c r="G216" s="2" t="str">
        <f>IFERROR(__xludf.DUMMYFUNCTION("""COMPUTED_VALUE"""),"Pro")</f>
        <v>Pro</v>
      </c>
      <c r="H216" s="2" t="str">
        <f>IFERROR(__xludf.DUMMYFUNCTION("""COMPUTED_VALUE"""),"8GB")</f>
        <v>8GB</v>
      </c>
      <c r="I216" s="17">
        <v>2493.45</v>
      </c>
      <c r="J216" s="6">
        <v>2.0</v>
      </c>
      <c r="K216" s="17">
        <v>4986.9</v>
      </c>
      <c r="L216" s="2" t="s">
        <v>711</v>
      </c>
      <c r="M216" s="2" t="s">
        <v>712</v>
      </c>
      <c r="N216" s="2" t="s">
        <v>713</v>
      </c>
    </row>
    <row r="217" ht="15.75" customHeight="1">
      <c r="A217" s="18">
        <v>45593.0</v>
      </c>
      <c r="B217" s="16" t="str">
        <f t="shared" si="1"/>
        <v>October</v>
      </c>
      <c r="C217" s="2" t="s">
        <v>57</v>
      </c>
      <c r="D217" s="2" t="str">
        <f t="shared" si="2"/>
        <v>Guadalajara</v>
      </c>
      <c r="E217" s="2" t="s">
        <v>269</v>
      </c>
      <c r="F217" s="2" t="str">
        <f>IFERROR(__xludf.DUMMYFUNCTION("SPLIT(E217, ""-"")"),"Teléfono")</f>
        <v>Teléfono</v>
      </c>
      <c r="G217" s="2" t="str">
        <f>IFERROR(__xludf.DUMMYFUNCTION("""COMPUTED_VALUE"""),"Gama baja")</f>
        <v>Gama baja</v>
      </c>
      <c r="H217" s="2" t="str">
        <f>IFERROR(__xludf.DUMMYFUNCTION("""COMPUTED_VALUE"""),"32GB")</f>
        <v>32GB</v>
      </c>
      <c r="I217" s="17">
        <v>1010.17</v>
      </c>
      <c r="J217" s="6">
        <v>1.0</v>
      </c>
      <c r="K217" s="17">
        <v>1010.17</v>
      </c>
      <c r="L217" s="2" t="s">
        <v>714</v>
      </c>
      <c r="M217" s="2" t="s">
        <v>715</v>
      </c>
      <c r="N217" s="2" t="s">
        <v>716</v>
      </c>
    </row>
    <row r="218" ht="15.75" customHeight="1">
      <c r="A218" s="18">
        <v>45593.0</v>
      </c>
      <c r="B218" s="16" t="str">
        <f t="shared" si="1"/>
        <v>October</v>
      </c>
      <c r="C218" s="2" t="s">
        <v>14</v>
      </c>
      <c r="D218" s="2" t="str">
        <f t="shared" si="2"/>
        <v>Bogotá</v>
      </c>
      <c r="E218" s="2" t="s">
        <v>222</v>
      </c>
      <c r="F218" s="2" t="str">
        <f>IFERROR(__xludf.DUMMYFUNCTION("SPLIT(E218, ""-"")"),"Laptop")</f>
        <v>Laptop</v>
      </c>
      <c r="G218" s="2" t="str">
        <f>IFERROR(__xludf.DUMMYFUNCTION("""COMPUTED_VALUE"""),"Gaming")</f>
        <v>Gaming</v>
      </c>
      <c r="H218" s="2" t="str">
        <f>IFERROR(__xludf.DUMMYFUNCTION("""COMPUTED_VALUE"""),"16GB")</f>
        <v>16GB</v>
      </c>
      <c r="I218" s="17">
        <v>2472.61</v>
      </c>
      <c r="J218" s="6">
        <v>5.0</v>
      </c>
      <c r="K218" s="17">
        <v>12363.05</v>
      </c>
      <c r="L218" s="2" t="s">
        <v>717</v>
      </c>
      <c r="M218" s="2" t="s">
        <v>718</v>
      </c>
      <c r="N218" s="2" t="s">
        <v>719</v>
      </c>
    </row>
    <row r="219" ht="15.75" customHeight="1">
      <c r="A219" s="18">
        <v>45594.0</v>
      </c>
      <c r="B219" s="16" t="str">
        <f t="shared" si="1"/>
        <v>October</v>
      </c>
      <c r="C219" s="2" t="s">
        <v>57</v>
      </c>
      <c r="D219" s="2" t="str">
        <f t="shared" si="2"/>
        <v>Guadalajara</v>
      </c>
      <c r="E219" s="2" t="s">
        <v>256</v>
      </c>
      <c r="F219" s="2" t="str">
        <f>IFERROR(__xludf.DUMMYFUNCTION("SPLIT(E219, ""-"")"),"Auriculares")</f>
        <v>Auriculares</v>
      </c>
      <c r="G219" s="2" t="str">
        <f>IFERROR(__xludf.DUMMYFUNCTION("""COMPUTED_VALUE"""),"Cancelación de ruido")</f>
        <v>Cancelación de ruido</v>
      </c>
      <c r="H219" s="2" t="str">
        <f>IFERROR(__xludf.DUMMYFUNCTION("""COMPUTED_VALUE"""),"8GB")</f>
        <v>8GB</v>
      </c>
      <c r="I219" s="17">
        <v>1741.09</v>
      </c>
      <c r="J219" s="6">
        <v>4.0</v>
      </c>
      <c r="K219" s="17">
        <v>6964.36</v>
      </c>
      <c r="L219" s="2" t="s">
        <v>720</v>
      </c>
      <c r="M219" s="2" t="s">
        <v>721</v>
      </c>
      <c r="N219" s="2" t="s">
        <v>722</v>
      </c>
    </row>
    <row r="220" ht="15.75" customHeight="1">
      <c r="A220" s="18">
        <v>45594.0</v>
      </c>
      <c r="B220" s="16" t="str">
        <f t="shared" si="1"/>
        <v>October</v>
      </c>
      <c r="C220" s="3" t="s">
        <v>29</v>
      </c>
      <c r="D220" s="2" t="str">
        <f t="shared" si="2"/>
        <v>Ciudad De Mexico</v>
      </c>
      <c r="E220" s="2" t="s">
        <v>115</v>
      </c>
      <c r="F220" s="2" t="str">
        <f>IFERROR(__xludf.DUMMYFUNCTION("SPLIT(E220, ""-"")"),"Teléfono")</f>
        <v>Teléfono</v>
      </c>
      <c r="G220" s="2" t="str">
        <f>IFERROR(__xludf.DUMMYFUNCTION("""COMPUTED_VALUE"""),"Gama baja")</f>
        <v>Gama baja</v>
      </c>
      <c r="H220" s="2" t="str">
        <f>IFERROR(__xludf.DUMMYFUNCTION("""COMPUTED_VALUE"""),"16GB")</f>
        <v>16GB</v>
      </c>
      <c r="I220" s="17">
        <v>1290.52</v>
      </c>
      <c r="J220" s="6">
        <v>3.0</v>
      </c>
      <c r="K220" s="17">
        <v>3871.56</v>
      </c>
      <c r="L220" s="2" t="s">
        <v>723</v>
      </c>
      <c r="M220" s="2" t="s">
        <v>724</v>
      </c>
      <c r="N220" s="2" t="s">
        <v>725</v>
      </c>
    </row>
    <row r="221" ht="15.75" customHeight="1">
      <c r="A221" s="18">
        <v>45594.0</v>
      </c>
      <c r="B221" s="16" t="str">
        <f t="shared" si="1"/>
        <v>October</v>
      </c>
      <c r="C221" s="2" t="s">
        <v>57</v>
      </c>
      <c r="D221" s="2" t="str">
        <f t="shared" si="2"/>
        <v>Guadalajara</v>
      </c>
      <c r="E221" s="21" t="s">
        <v>2340</v>
      </c>
      <c r="F221" s="2" t="str">
        <f>IFERROR(__xludf.DUMMYFUNCTION("SPLIT(E221, ""-"")"),"Teléfono")</f>
        <v>Teléfono</v>
      </c>
      <c r="G221" s="2" t="str">
        <f>IFERROR(__xludf.DUMMYFUNCTION("""COMPUTED_VALUE"""),"Gama media")</f>
        <v>Gama media</v>
      </c>
      <c r="H221" s="2" t="str">
        <f>IFERROR(__xludf.DUMMYFUNCTION("""COMPUTED_VALUE"""),"8GB")</f>
        <v>8GB</v>
      </c>
      <c r="I221" s="17">
        <v>1598.45</v>
      </c>
      <c r="J221" s="6">
        <v>3.0</v>
      </c>
      <c r="K221" s="17">
        <v>4795.35</v>
      </c>
      <c r="L221" s="2" t="s">
        <v>726</v>
      </c>
      <c r="M221" s="2" t="s">
        <v>727</v>
      </c>
      <c r="N221" s="2" t="s">
        <v>728</v>
      </c>
    </row>
    <row r="222" ht="15.75" customHeight="1">
      <c r="A222" s="18">
        <v>45594.0</v>
      </c>
      <c r="B222" s="16" t="str">
        <f t="shared" si="1"/>
        <v>October</v>
      </c>
      <c r="C222" s="2" t="s">
        <v>34</v>
      </c>
      <c r="D222" s="2" t="str">
        <f t="shared" si="2"/>
        <v>Medellín</v>
      </c>
      <c r="E222" s="2" t="s">
        <v>62</v>
      </c>
      <c r="F222" s="2" t="str">
        <f>IFERROR(__xludf.DUMMYFUNCTION("SPLIT(E222, ""-"")"),"Laptop")</f>
        <v>Laptop</v>
      </c>
      <c r="G222" s="2" t="str">
        <f>IFERROR(__xludf.DUMMYFUNCTION("""COMPUTED_VALUE"""),"Ultraliviana")</f>
        <v>Ultraliviana</v>
      </c>
      <c r="H222" s="2" t="str">
        <f>IFERROR(__xludf.DUMMYFUNCTION("""COMPUTED_VALUE"""),"4GB")</f>
        <v>4GB</v>
      </c>
      <c r="I222" s="17">
        <v>1156.44</v>
      </c>
      <c r="J222" s="6">
        <v>1.0</v>
      </c>
      <c r="K222" s="17">
        <v>1156.44</v>
      </c>
      <c r="L222" s="2" t="s">
        <v>729</v>
      </c>
      <c r="M222" s="2" t="s">
        <v>730</v>
      </c>
      <c r="N222" s="2" t="s">
        <v>731</v>
      </c>
    </row>
    <row r="223" ht="15.75" customHeight="1">
      <c r="A223" s="18">
        <v>45594.0</v>
      </c>
      <c r="B223" s="16" t="str">
        <f t="shared" si="1"/>
        <v>October</v>
      </c>
      <c r="C223" s="2" t="s">
        <v>14</v>
      </c>
      <c r="D223" s="2" t="str">
        <f t="shared" si="2"/>
        <v>Bogotá</v>
      </c>
      <c r="E223" s="2" t="s">
        <v>30</v>
      </c>
      <c r="F223" s="2" t="str">
        <f>IFERROR(__xludf.DUMMYFUNCTION("SPLIT(E223, ""-"")"),"Teléfono")</f>
        <v>Teléfono</v>
      </c>
      <c r="G223" s="2" t="str">
        <f>IFERROR(__xludf.DUMMYFUNCTION("""COMPUTED_VALUE"""),"Gama alta")</f>
        <v>Gama alta</v>
      </c>
      <c r="H223" s="2" t="str">
        <f>IFERROR(__xludf.DUMMYFUNCTION("""COMPUTED_VALUE"""),"32GB")</f>
        <v>32GB</v>
      </c>
      <c r="I223" s="17">
        <v>288.29</v>
      </c>
      <c r="J223" s="6">
        <v>3.0</v>
      </c>
      <c r="K223" s="17">
        <v>864.87</v>
      </c>
      <c r="L223" s="2" t="s">
        <v>732</v>
      </c>
      <c r="M223" s="2" t="s">
        <v>733</v>
      </c>
      <c r="N223" s="2" t="s">
        <v>734</v>
      </c>
    </row>
    <row r="224" ht="15.75" customHeight="1">
      <c r="A224" s="18">
        <v>45594.0</v>
      </c>
      <c r="B224" s="16" t="str">
        <f t="shared" si="1"/>
        <v>October</v>
      </c>
      <c r="C224" s="2" t="s">
        <v>74</v>
      </c>
      <c r="D224" s="2" t="str">
        <f t="shared" si="2"/>
        <v>Cali</v>
      </c>
      <c r="E224" s="2" t="s">
        <v>179</v>
      </c>
      <c r="F224" s="2" t="str">
        <f>IFERROR(__xludf.DUMMYFUNCTION("SPLIT(E224, ""-"")"),"Tablet")</f>
        <v>Tablet</v>
      </c>
      <c r="G224" s="2" t="str">
        <f>IFERROR(__xludf.DUMMYFUNCTION("""COMPUTED_VALUE"""),"Mini")</f>
        <v>Mini</v>
      </c>
      <c r="H224" s="2" t="str">
        <f>IFERROR(__xludf.DUMMYFUNCTION("""COMPUTED_VALUE"""),"4GB")</f>
        <v>4GB</v>
      </c>
      <c r="I224" s="17">
        <v>1164.32</v>
      </c>
      <c r="J224" s="6">
        <v>3.0</v>
      </c>
      <c r="K224" s="17">
        <v>3492.96</v>
      </c>
      <c r="L224" s="2" t="s">
        <v>735</v>
      </c>
      <c r="M224" s="2" t="s">
        <v>736</v>
      </c>
      <c r="N224" s="2" t="s">
        <v>737</v>
      </c>
    </row>
    <row r="225" ht="15.75" customHeight="1">
      <c r="A225" s="18">
        <v>45594.0</v>
      </c>
      <c r="B225" s="16" t="str">
        <f t="shared" si="1"/>
        <v>October</v>
      </c>
      <c r="C225" s="2" t="s">
        <v>57</v>
      </c>
      <c r="D225" s="2" t="str">
        <f t="shared" si="2"/>
        <v>Guadalajara</v>
      </c>
      <c r="E225" s="2" t="s">
        <v>35</v>
      </c>
      <c r="F225" s="2" t="str">
        <f>IFERROR(__xludf.DUMMYFUNCTION("SPLIT(E225, ""-"")"),"Tablet")</f>
        <v>Tablet</v>
      </c>
      <c r="G225" s="2" t="str">
        <f>IFERROR(__xludf.DUMMYFUNCTION("""COMPUTED_VALUE"""),"Pro")</f>
        <v>Pro</v>
      </c>
      <c r="H225" s="2" t="str">
        <f>IFERROR(__xludf.DUMMYFUNCTION("""COMPUTED_VALUE"""),"4GB")</f>
        <v>4GB</v>
      </c>
      <c r="I225" s="17">
        <v>429.21</v>
      </c>
      <c r="J225" s="6">
        <v>5.0</v>
      </c>
      <c r="K225" s="17">
        <v>2146.05</v>
      </c>
      <c r="L225" s="2" t="s">
        <v>738</v>
      </c>
      <c r="M225" s="2" t="s">
        <v>739</v>
      </c>
      <c r="N225" s="2" t="s">
        <v>740</v>
      </c>
    </row>
    <row r="226" ht="15.75" customHeight="1">
      <c r="A226" s="18">
        <v>45594.0</v>
      </c>
      <c r="B226" s="16" t="str">
        <f t="shared" si="1"/>
        <v>October</v>
      </c>
      <c r="C226" s="2" t="s">
        <v>74</v>
      </c>
      <c r="D226" s="2" t="str">
        <f t="shared" si="2"/>
        <v>Cali</v>
      </c>
      <c r="E226" s="2" t="s">
        <v>215</v>
      </c>
      <c r="F226" s="2" t="str">
        <f>IFERROR(__xludf.DUMMYFUNCTION("SPLIT(E226, ""-"")"),"Teléfono")</f>
        <v>Teléfono</v>
      </c>
      <c r="G226" s="2" t="str">
        <f>IFERROR(__xludf.DUMMYFUNCTION("""COMPUTED_VALUE"""),"Gama media")</f>
        <v>Gama media</v>
      </c>
      <c r="H226" s="2" t="str">
        <f>IFERROR(__xludf.DUMMYFUNCTION("""COMPUTED_VALUE"""),"4GB")</f>
        <v>4GB</v>
      </c>
      <c r="I226" s="17">
        <v>847.32</v>
      </c>
      <c r="J226" s="6">
        <v>5.0</v>
      </c>
      <c r="K226" s="17">
        <v>4236.6</v>
      </c>
      <c r="L226" s="2" t="s">
        <v>741</v>
      </c>
      <c r="M226" s="2" t="s">
        <v>742</v>
      </c>
      <c r="N226" s="2" t="s">
        <v>743</v>
      </c>
    </row>
    <row r="227" ht="15.75" customHeight="1">
      <c r="A227" s="18">
        <v>45594.0</v>
      </c>
      <c r="B227" s="16" t="str">
        <f t="shared" si="1"/>
        <v>October</v>
      </c>
      <c r="C227" s="3" t="s">
        <v>29</v>
      </c>
      <c r="D227" s="2" t="str">
        <f t="shared" si="2"/>
        <v>Ciudad De Mexico</v>
      </c>
      <c r="E227" s="2" t="s">
        <v>35</v>
      </c>
      <c r="F227" s="2" t="str">
        <f>IFERROR(__xludf.DUMMYFUNCTION("SPLIT(E227, ""-"")"),"Tablet")</f>
        <v>Tablet</v>
      </c>
      <c r="G227" s="2" t="str">
        <f>IFERROR(__xludf.DUMMYFUNCTION("""COMPUTED_VALUE"""),"Pro")</f>
        <v>Pro</v>
      </c>
      <c r="H227" s="2" t="str">
        <f>IFERROR(__xludf.DUMMYFUNCTION("""COMPUTED_VALUE"""),"4GB")</f>
        <v>4GB</v>
      </c>
      <c r="I227" s="17">
        <v>509.58</v>
      </c>
      <c r="J227" s="6">
        <v>3.0</v>
      </c>
      <c r="K227" s="17">
        <v>1528.74</v>
      </c>
      <c r="L227" s="2" t="s">
        <v>744</v>
      </c>
      <c r="M227" s="2" t="s">
        <v>745</v>
      </c>
      <c r="N227" s="2" t="s">
        <v>746</v>
      </c>
    </row>
    <row r="228" ht="15.75" customHeight="1">
      <c r="A228" s="18">
        <v>45594.0</v>
      </c>
      <c r="B228" s="16" t="str">
        <f t="shared" si="1"/>
        <v>October</v>
      </c>
      <c r="C228" s="2" t="s">
        <v>57</v>
      </c>
      <c r="D228" s="2" t="str">
        <f t="shared" si="2"/>
        <v>Guadalajara</v>
      </c>
      <c r="E228" s="2" t="s">
        <v>53</v>
      </c>
      <c r="F228" s="2" t="str">
        <f>IFERROR(__xludf.DUMMYFUNCTION("SPLIT(E228, ""-"")"),"Laptop")</f>
        <v>Laptop</v>
      </c>
      <c r="G228" s="2" t="str">
        <f>IFERROR(__xludf.DUMMYFUNCTION("""COMPUTED_VALUE"""),"Oficina")</f>
        <v>Oficina</v>
      </c>
      <c r="H228" s="2" t="str">
        <f>IFERROR(__xludf.DUMMYFUNCTION("""COMPUTED_VALUE"""),"8GB")</f>
        <v>8GB</v>
      </c>
      <c r="I228" s="17">
        <v>2248.35</v>
      </c>
      <c r="J228" s="6">
        <v>5.0</v>
      </c>
      <c r="K228" s="17">
        <v>11241.75</v>
      </c>
      <c r="L228" s="2" t="s">
        <v>747</v>
      </c>
      <c r="M228" s="2" t="s">
        <v>748</v>
      </c>
      <c r="N228" s="2" t="s">
        <v>749</v>
      </c>
    </row>
    <row r="229" ht="15.75" customHeight="1">
      <c r="A229" s="18">
        <v>45594.0</v>
      </c>
      <c r="B229" s="16" t="str">
        <f t="shared" si="1"/>
        <v>October</v>
      </c>
      <c r="C229" s="3" t="s">
        <v>29</v>
      </c>
      <c r="D229" s="2" t="str">
        <f t="shared" si="2"/>
        <v>Ciudad De Mexico</v>
      </c>
      <c r="E229" s="2" t="s">
        <v>279</v>
      </c>
      <c r="F229" s="2" t="str">
        <f>IFERROR(__xludf.DUMMYFUNCTION("SPLIT(E229, ""-"")"),"Tablet")</f>
        <v>Tablet</v>
      </c>
      <c r="G229" s="2" t="str">
        <f>IFERROR(__xludf.DUMMYFUNCTION("""COMPUTED_VALUE"""),"Pro")</f>
        <v>Pro</v>
      </c>
      <c r="H229" s="2" t="str">
        <f>IFERROR(__xludf.DUMMYFUNCTION("""COMPUTED_VALUE"""),"16GB")</f>
        <v>16GB</v>
      </c>
      <c r="I229" s="17">
        <v>2388.79</v>
      </c>
      <c r="J229" s="6">
        <v>2.0</v>
      </c>
      <c r="K229" s="17">
        <v>4777.58</v>
      </c>
      <c r="L229" s="2" t="s">
        <v>750</v>
      </c>
      <c r="M229" s="2" t="s">
        <v>751</v>
      </c>
      <c r="N229" s="2" t="s">
        <v>752</v>
      </c>
    </row>
    <row r="230" ht="15.75" customHeight="1">
      <c r="A230" s="18">
        <v>45594.0</v>
      </c>
      <c r="B230" s="16" t="str">
        <f t="shared" si="1"/>
        <v>October</v>
      </c>
      <c r="C230" s="3" t="s">
        <v>29</v>
      </c>
      <c r="D230" s="2" t="str">
        <f t="shared" si="2"/>
        <v>Ciudad De Mexico</v>
      </c>
      <c r="E230" s="2" t="s">
        <v>222</v>
      </c>
      <c r="F230" s="2" t="str">
        <f>IFERROR(__xludf.DUMMYFUNCTION("SPLIT(E230, ""-"")"),"Laptop")</f>
        <v>Laptop</v>
      </c>
      <c r="G230" s="2" t="str">
        <f>IFERROR(__xludf.DUMMYFUNCTION("""COMPUTED_VALUE"""),"Gaming")</f>
        <v>Gaming</v>
      </c>
      <c r="H230" s="2" t="str">
        <f>IFERROR(__xludf.DUMMYFUNCTION("""COMPUTED_VALUE"""),"16GB")</f>
        <v>16GB</v>
      </c>
      <c r="I230" s="17">
        <v>2343.81</v>
      </c>
      <c r="J230" s="6">
        <v>4.0</v>
      </c>
      <c r="K230" s="17">
        <v>9375.24</v>
      </c>
      <c r="L230" s="2" t="s">
        <v>753</v>
      </c>
      <c r="M230" s="2" t="s">
        <v>754</v>
      </c>
      <c r="N230" s="2" t="s">
        <v>755</v>
      </c>
    </row>
    <row r="231" ht="15.75" customHeight="1">
      <c r="A231" s="18">
        <v>45594.0</v>
      </c>
      <c r="B231" s="16" t="str">
        <f t="shared" si="1"/>
        <v>October</v>
      </c>
      <c r="C231" s="2" t="s">
        <v>14</v>
      </c>
      <c r="D231" s="2" t="str">
        <f t="shared" si="2"/>
        <v>Bogotá</v>
      </c>
      <c r="E231" s="2" t="s">
        <v>215</v>
      </c>
      <c r="F231" s="2" t="str">
        <f>IFERROR(__xludf.DUMMYFUNCTION("SPLIT(E231, ""-"")"),"Teléfono")</f>
        <v>Teléfono</v>
      </c>
      <c r="G231" s="2" t="str">
        <f>IFERROR(__xludf.DUMMYFUNCTION("""COMPUTED_VALUE"""),"Gama media")</f>
        <v>Gama media</v>
      </c>
      <c r="H231" s="2" t="str">
        <f>IFERROR(__xludf.DUMMYFUNCTION("""COMPUTED_VALUE"""),"4GB")</f>
        <v>4GB</v>
      </c>
      <c r="I231" s="17">
        <v>140.58</v>
      </c>
      <c r="J231" s="6">
        <v>3.0</v>
      </c>
      <c r="K231" s="17">
        <v>421.74</v>
      </c>
      <c r="L231" s="2" t="s">
        <v>756</v>
      </c>
      <c r="M231" s="2" t="s">
        <v>757</v>
      </c>
      <c r="N231" s="2" t="s">
        <v>758</v>
      </c>
    </row>
    <row r="232" ht="15.75" customHeight="1">
      <c r="A232" s="18">
        <v>45594.0</v>
      </c>
      <c r="B232" s="16" t="str">
        <f t="shared" si="1"/>
        <v>October</v>
      </c>
      <c r="C232" s="3" t="s">
        <v>29</v>
      </c>
      <c r="D232" s="2" t="str">
        <f t="shared" si="2"/>
        <v>Ciudad De Mexico</v>
      </c>
      <c r="E232" s="2" t="s">
        <v>119</v>
      </c>
      <c r="F232" s="2" t="str">
        <f>IFERROR(__xludf.DUMMYFUNCTION("SPLIT(E232, ""-"")"),"Teléfono")</f>
        <v>Teléfono</v>
      </c>
      <c r="G232" s="2" t="str">
        <f>IFERROR(__xludf.DUMMYFUNCTION("""COMPUTED_VALUE"""),"Gama alta")</f>
        <v>Gama alta</v>
      </c>
      <c r="H232" s="2" t="str">
        <f>IFERROR(__xludf.DUMMYFUNCTION("""COMPUTED_VALUE"""),"8GB")</f>
        <v>8GB</v>
      </c>
      <c r="I232" s="17">
        <v>1292.41</v>
      </c>
      <c r="J232" s="6">
        <v>5.0</v>
      </c>
      <c r="K232" s="17">
        <v>6462.05</v>
      </c>
      <c r="L232" s="2" t="s">
        <v>759</v>
      </c>
      <c r="M232" s="2" t="s">
        <v>760</v>
      </c>
      <c r="N232" s="2" t="s">
        <v>761</v>
      </c>
    </row>
    <row r="233" ht="15.75" customHeight="1">
      <c r="A233" s="18">
        <v>45595.0</v>
      </c>
      <c r="B233" s="16" t="str">
        <f t="shared" si="1"/>
        <v>October</v>
      </c>
      <c r="C233" s="2" t="s">
        <v>57</v>
      </c>
      <c r="D233" s="2" t="str">
        <f t="shared" si="2"/>
        <v>Guadalajara</v>
      </c>
      <c r="E233" s="2" t="s">
        <v>161</v>
      </c>
      <c r="F233" s="2" t="str">
        <f>IFERROR(__xludf.DUMMYFUNCTION("SPLIT(E233, ""-"")"),"Laptop")</f>
        <v>Laptop</v>
      </c>
      <c r="G233" s="2" t="str">
        <f>IFERROR(__xludf.DUMMYFUNCTION("""COMPUTED_VALUE"""),"Oficina")</f>
        <v>Oficina</v>
      </c>
      <c r="H233" s="2" t="str">
        <f>IFERROR(__xludf.DUMMYFUNCTION("""COMPUTED_VALUE"""),"32GB")</f>
        <v>32GB</v>
      </c>
      <c r="I233" s="17">
        <v>1099.54</v>
      </c>
      <c r="J233" s="6">
        <v>2.0</v>
      </c>
      <c r="K233" s="17">
        <v>2199.08</v>
      </c>
      <c r="L233" s="2" t="s">
        <v>762</v>
      </c>
      <c r="M233" s="2" t="s">
        <v>763</v>
      </c>
      <c r="N233" s="2" t="s">
        <v>764</v>
      </c>
    </row>
    <row r="234" ht="15.75" customHeight="1">
      <c r="A234" s="18">
        <v>45595.0</v>
      </c>
      <c r="B234" s="16" t="str">
        <f t="shared" si="1"/>
        <v>October</v>
      </c>
      <c r="C234" s="2" t="s">
        <v>74</v>
      </c>
      <c r="D234" s="2" t="str">
        <f t="shared" si="2"/>
        <v>Cali</v>
      </c>
      <c r="E234" s="2" t="s">
        <v>30</v>
      </c>
      <c r="F234" s="2" t="str">
        <f>IFERROR(__xludf.DUMMYFUNCTION("SPLIT(E234, ""-"")"),"Teléfono")</f>
        <v>Teléfono</v>
      </c>
      <c r="G234" s="2" t="str">
        <f>IFERROR(__xludf.DUMMYFUNCTION("""COMPUTED_VALUE"""),"Gama alta")</f>
        <v>Gama alta</v>
      </c>
      <c r="H234" s="2" t="str">
        <f>IFERROR(__xludf.DUMMYFUNCTION("""COMPUTED_VALUE"""),"32GB")</f>
        <v>32GB</v>
      </c>
      <c r="I234" s="17">
        <v>2317.48</v>
      </c>
      <c r="J234" s="6">
        <v>1.0</v>
      </c>
      <c r="K234" s="17">
        <v>2317.48</v>
      </c>
      <c r="L234" s="2" t="s">
        <v>765</v>
      </c>
      <c r="M234" s="2" t="s">
        <v>766</v>
      </c>
      <c r="N234" s="2" t="s">
        <v>767</v>
      </c>
    </row>
    <row r="235" ht="15.75" customHeight="1">
      <c r="A235" s="18">
        <v>45595.0</v>
      </c>
      <c r="B235" s="16" t="str">
        <f t="shared" si="1"/>
        <v>October</v>
      </c>
      <c r="C235" s="2" t="s">
        <v>57</v>
      </c>
      <c r="D235" s="2" t="str">
        <f t="shared" si="2"/>
        <v>Guadalajara</v>
      </c>
      <c r="E235" s="2" t="s">
        <v>92</v>
      </c>
      <c r="F235" s="2" t="str">
        <f>IFERROR(__xludf.DUMMYFUNCTION("SPLIT(E235, ""-"")"),"Tablet")</f>
        <v>Tablet</v>
      </c>
      <c r="G235" s="2" t="str">
        <f>IFERROR(__xludf.DUMMYFUNCTION("""COMPUTED_VALUE"""),"Mini")</f>
        <v>Mini</v>
      </c>
      <c r="H235" s="2" t="str">
        <f>IFERROR(__xludf.DUMMYFUNCTION("""COMPUTED_VALUE"""),"8GB")</f>
        <v>8GB</v>
      </c>
      <c r="I235" s="17">
        <v>797.71</v>
      </c>
      <c r="J235" s="6">
        <v>1.0</v>
      </c>
      <c r="K235" s="17">
        <v>797.71</v>
      </c>
      <c r="L235" s="2" t="s">
        <v>768</v>
      </c>
      <c r="M235" s="2" t="s">
        <v>769</v>
      </c>
      <c r="N235" s="2" t="s">
        <v>770</v>
      </c>
    </row>
    <row r="236" ht="15.75" customHeight="1">
      <c r="A236" s="18">
        <v>45595.0</v>
      </c>
      <c r="B236" s="16" t="str">
        <f t="shared" si="1"/>
        <v>October</v>
      </c>
      <c r="C236" s="2" t="s">
        <v>34</v>
      </c>
      <c r="D236" s="2" t="str">
        <f t="shared" si="2"/>
        <v>Medellín</v>
      </c>
      <c r="E236" s="2" t="s">
        <v>252</v>
      </c>
      <c r="F236" s="2" t="str">
        <f>IFERROR(__xludf.DUMMYFUNCTION("SPLIT(E236, ""-"")"),"Auriculares")</f>
        <v>Auriculares</v>
      </c>
      <c r="G236" s="2" t="str">
        <f>IFERROR(__xludf.DUMMYFUNCTION("""COMPUTED_VALUE"""),"Bluetooth")</f>
        <v>Bluetooth</v>
      </c>
      <c r="H236" s="2" t="str">
        <f>IFERROR(__xludf.DUMMYFUNCTION("""COMPUTED_VALUE"""),"8GB")</f>
        <v>8GB</v>
      </c>
      <c r="I236" s="17">
        <v>1861.0</v>
      </c>
      <c r="J236" s="6">
        <v>5.0</v>
      </c>
      <c r="K236" s="17">
        <v>9305.0</v>
      </c>
      <c r="L236" s="2" t="s">
        <v>771</v>
      </c>
      <c r="M236" s="2" t="s">
        <v>772</v>
      </c>
      <c r="N236" s="2" t="s">
        <v>773</v>
      </c>
    </row>
    <row r="237" ht="15.75" customHeight="1">
      <c r="A237" s="18">
        <v>45595.0</v>
      </c>
      <c r="B237" s="16" t="str">
        <f t="shared" si="1"/>
        <v>October</v>
      </c>
      <c r="C237" s="2" t="s">
        <v>34</v>
      </c>
      <c r="D237" s="2" t="str">
        <f t="shared" si="2"/>
        <v>Medellín</v>
      </c>
      <c r="E237" s="2" t="s">
        <v>58</v>
      </c>
      <c r="F237" s="2" t="str">
        <f>IFERROR(__xludf.DUMMYFUNCTION("SPLIT(E237, ""-"")"),"Auriculares")</f>
        <v>Auriculares</v>
      </c>
      <c r="G237" s="2" t="str">
        <f>IFERROR(__xludf.DUMMYFUNCTION("""COMPUTED_VALUE"""),"Bluetooth")</f>
        <v>Bluetooth</v>
      </c>
      <c r="H237" s="2" t="str">
        <f>IFERROR(__xludf.DUMMYFUNCTION("""COMPUTED_VALUE"""),"4GB")</f>
        <v>4GB</v>
      </c>
      <c r="I237" s="17">
        <v>201.31</v>
      </c>
      <c r="J237" s="6">
        <v>5.0</v>
      </c>
      <c r="K237" s="17">
        <v>1006.55</v>
      </c>
      <c r="L237" s="2" t="s">
        <v>774</v>
      </c>
      <c r="M237" s="2" t="s">
        <v>775</v>
      </c>
      <c r="N237" s="2" t="s">
        <v>776</v>
      </c>
    </row>
    <row r="238" ht="15.75" customHeight="1">
      <c r="A238" s="18">
        <v>45596.0</v>
      </c>
      <c r="B238" s="16" t="str">
        <f t="shared" si="1"/>
        <v>October</v>
      </c>
      <c r="C238" s="2" t="s">
        <v>87</v>
      </c>
      <c r="D238" s="2" t="str">
        <f t="shared" si="2"/>
        <v>Tulum</v>
      </c>
      <c r="E238" s="2" t="s">
        <v>161</v>
      </c>
      <c r="F238" s="2" t="str">
        <f>IFERROR(__xludf.DUMMYFUNCTION("SPLIT(E238, ""-"")"),"Laptop")</f>
        <v>Laptop</v>
      </c>
      <c r="G238" s="2" t="str">
        <f>IFERROR(__xludf.DUMMYFUNCTION("""COMPUTED_VALUE"""),"Oficina")</f>
        <v>Oficina</v>
      </c>
      <c r="H238" s="2" t="str">
        <f>IFERROR(__xludf.DUMMYFUNCTION("""COMPUTED_VALUE"""),"32GB")</f>
        <v>32GB</v>
      </c>
      <c r="I238" s="17">
        <v>1889.28</v>
      </c>
      <c r="J238" s="6">
        <v>4.0</v>
      </c>
      <c r="K238" s="17">
        <v>7557.12</v>
      </c>
      <c r="L238" s="2" t="s">
        <v>777</v>
      </c>
      <c r="M238" s="2" t="s">
        <v>778</v>
      </c>
      <c r="N238" s="2" t="s">
        <v>779</v>
      </c>
    </row>
    <row r="239" ht="15.75" customHeight="1">
      <c r="A239" s="18">
        <v>45596.0</v>
      </c>
      <c r="B239" s="16" t="str">
        <f t="shared" si="1"/>
        <v>October</v>
      </c>
      <c r="C239" s="2" t="s">
        <v>14</v>
      </c>
      <c r="D239" s="2" t="str">
        <f t="shared" si="2"/>
        <v>Bogotá</v>
      </c>
      <c r="E239" s="2" t="s">
        <v>341</v>
      </c>
      <c r="F239" s="2" t="str">
        <f>IFERROR(__xludf.DUMMYFUNCTION("SPLIT(E239, ""-"")"),"Laptop")</f>
        <v>Laptop</v>
      </c>
      <c r="G239" s="2" t="str">
        <f>IFERROR(__xludf.DUMMYFUNCTION("""COMPUTED_VALUE"""),"Ultraliviana")</f>
        <v>Ultraliviana</v>
      </c>
      <c r="H239" s="2" t="str">
        <f>IFERROR(__xludf.DUMMYFUNCTION("""COMPUTED_VALUE"""),"8GB")</f>
        <v>8GB</v>
      </c>
      <c r="I239" s="17">
        <v>1451.3</v>
      </c>
      <c r="J239" s="6">
        <v>2.0</v>
      </c>
      <c r="K239" s="17">
        <v>2902.6</v>
      </c>
      <c r="L239" s="2" t="s">
        <v>780</v>
      </c>
      <c r="M239" s="2" t="s">
        <v>781</v>
      </c>
      <c r="N239" s="2" t="s">
        <v>782</v>
      </c>
    </row>
    <row r="240" ht="15.75" customHeight="1">
      <c r="A240" s="18">
        <v>45596.0</v>
      </c>
      <c r="B240" s="16" t="str">
        <f t="shared" si="1"/>
        <v>October</v>
      </c>
      <c r="C240" s="2" t="s">
        <v>34</v>
      </c>
      <c r="D240" s="2" t="str">
        <f t="shared" si="2"/>
        <v>Medellín</v>
      </c>
      <c r="E240" s="2" t="s">
        <v>62</v>
      </c>
      <c r="F240" s="2" t="str">
        <f>IFERROR(__xludf.DUMMYFUNCTION("SPLIT(E240, ""-"")"),"Laptop")</f>
        <v>Laptop</v>
      </c>
      <c r="G240" s="2" t="str">
        <f>IFERROR(__xludf.DUMMYFUNCTION("""COMPUTED_VALUE"""),"Ultraliviana")</f>
        <v>Ultraliviana</v>
      </c>
      <c r="H240" s="2" t="str">
        <f>IFERROR(__xludf.DUMMYFUNCTION("""COMPUTED_VALUE"""),"4GB")</f>
        <v>4GB</v>
      </c>
      <c r="I240" s="17">
        <v>2266.71</v>
      </c>
      <c r="J240" s="6">
        <v>2.0</v>
      </c>
      <c r="K240" s="17">
        <v>4533.42</v>
      </c>
      <c r="L240" s="2" t="s">
        <v>783</v>
      </c>
      <c r="M240" s="2" t="s">
        <v>784</v>
      </c>
      <c r="N240" s="2" t="s">
        <v>785</v>
      </c>
    </row>
    <row r="241" ht="15.75" customHeight="1">
      <c r="A241" s="18">
        <v>45596.0</v>
      </c>
      <c r="B241" s="16" t="str">
        <f t="shared" si="1"/>
        <v>October</v>
      </c>
      <c r="C241" s="2" t="s">
        <v>14</v>
      </c>
      <c r="D241" s="2" t="str">
        <f t="shared" si="2"/>
        <v>Bogotá</v>
      </c>
      <c r="E241" s="2" t="s">
        <v>66</v>
      </c>
      <c r="F241" s="2" t="str">
        <f>IFERROR(__xludf.DUMMYFUNCTION("SPLIT(E241, ""-"")"),"Tablet")</f>
        <v>Tablet</v>
      </c>
      <c r="G241" s="2" t="str">
        <f>IFERROR(__xludf.DUMMYFUNCTION("""COMPUTED_VALUE"""),"Estándar")</f>
        <v>Estándar</v>
      </c>
      <c r="H241" s="2" t="str">
        <f>IFERROR(__xludf.DUMMYFUNCTION("""COMPUTED_VALUE"""),"4GB")</f>
        <v>4GB</v>
      </c>
      <c r="I241" s="17">
        <v>287.48</v>
      </c>
      <c r="J241" s="6">
        <v>4.0</v>
      </c>
      <c r="K241" s="17">
        <v>1149.92</v>
      </c>
      <c r="L241" s="2" t="s">
        <v>786</v>
      </c>
      <c r="M241" s="2" t="s">
        <v>787</v>
      </c>
      <c r="N241" s="2" t="s">
        <v>788</v>
      </c>
    </row>
    <row r="242" ht="15.75" customHeight="1">
      <c r="A242" s="18">
        <v>45596.0</v>
      </c>
      <c r="B242" s="16" t="str">
        <f t="shared" si="1"/>
        <v>October</v>
      </c>
      <c r="C242" s="2" t="s">
        <v>74</v>
      </c>
      <c r="D242" s="2" t="str">
        <f t="shared" si="2"/>
        <v>Cali</v>
      </c>
      <c r="E242" s="2" t="s">
        <v>316</v>
      </c>
      <c r="F242" s="2" t="str">
        <f>IFERROR(__xludf.DUMMYFUNCTION("SPLIT(E242, ""-"")"),"Tablet")</f>
        <v>Tablet</v>
      </c>
      <c r="G242" s="2" t="str">
        <f>IFERROR(__xludf.DUMMYFUNCTION("""COMPUTED_VALUE"""),"Pro")</f>
        <v>Pro</v>
      </c>
      <c r="H242" s="2" t="str">
        <f>IFERROR(__xludf.DUMMYFUNCTION("""COMPUTED_VALUE"""),"32GB")</f>
        <v>32GB</v>
      </c>
      <c r="I242" s="17">
        <v>1758.16</v>
      </c>
      <c r="J242" s="6">
        <v>5.0</v>
      </c>
      <c r="K242" s="17">
        <v>8790.8</v>
      </c>
      <c r="L242" s="2" t="s">
        <v>789</v>
      </c>
      <c r="M242" s="2" t="s">
        <v>790</v>
      </c>
      <c r="N242" s="2" t="s">
        <v>791</v>
      </c>
    </row>
    <row r="243" ht="15.75" customHeight="1">
      <c r="A243" s="18">
        <v>45596.0</v>
      </c>
      <c r="B243" s="16" t="str">
        <f t="shared" si="1"/>
        <v>October</v>
      </c>
      <c r="C243" s="2" t="s">
        <v>34</v>
      </c>
      <c r="D243" s="2" t="str">
        <f t="shared" si="2"/>
        <v>Medellín</v>
      </c>
      <c r="E243" s="2" t="s">
        <v>137</v>
      </c>
      <c r="F243" s="2" t="str">
        <f>IFERROR(__xludf.DUMMYFUNCTION("SPLIT(E243, ""-"")"),"Auriculares")</f>
        <v>Auriculares</v>
      </c>
      <c r="G243" s="2" t="str">
        <f>IFERROR(__xludf.DUMMYFUNCTION("""COMPUTED_VALUE"""),"Con cable")</f>
        <v>Con cable</v>
      </c>
      <c r="H243" s="2" t="str">
        <f>IFERROR(__xludf.DUMMYFUNCTION("""COMPUTED_VALUE"""),"16GB")</f>
        <v>16GB</v>
      </c>
      <c r="I243" s="17">
        <v>273.01</v>
      </c>
      <c r="J243" s="6">
        <v>1.0</v>
      </c>
      <c r="K243" s="17">
        <v>273.01</v>
      </c>
      <c r="L243" s="2" t="s">
        <v>792</v>
      </c>
      <c r="M243" s="2" t="s">
        <v>793</v>
      </c>
      <c r="N243" s="2" t="s">
        <v>794</v>
      </c>
    </row>
    <row r="244" ht="15.75" customHeight="1">
      <c r="A244" s="18">
        <v>45597.0</v>
      </c>
      <c r="B244" s="16" t="str">
        <f t="shared" si="1"/>
        <v>November</v>
      </c>
      <c r="C244" s="2" t="s">
        <v>74</v>
      </c>
      <c r="D244" s="2" t="str">
        <f t="shared" si="2"/>
        <v>Cali</v>
      </c>
      <c r="E244" s="2" t="s">
        <v>269</v>
      </c>
      <c r="F244" s="2" t="str">
        <f>IFERROR(__xludf.DUMMYFUNCTION("SPLIT(E244, ""-"")"),"Teléfono")</f>
        <v>Teléfono</v>
      </c>
      <c r="G244" s="2" t="str">
        <f>IFERROR(__xludf.DUMMYFUNCTION("""COMPUTED_VALUE"""),"Gama baja")</f>
        <v>Gama baja</v>
      </c>
      <c r="H244" s="2" t="str">
        <f>IFERROR(__xludf.DUMMYFUNCTION("""COMPUTED_VALUE"""),"32GB")</f>
        <v>32GB</v>
      </c>
      <c r="I244" s="17">
        <v>434.9</v>
      </c>
      <c r="J244" s="6">
        <v>1.0</v>
      </c>
      <c r="K244" s="17">
        <v>434.9</v>
      </c>
      <c r="L244" s="2" t="s">
        <v>795</v>
      </c>
      <c r="M244" s="2" t="s">
        <v>796</v>
      </c>
      <c r="N244" s="2" t="s">
        <v>797</v>
      </c>
    </row>
    <row r="245" ht="15.75" customHeight="1">
      <c r="A245" s="18">
        <v>45597.0</v>
      </c>
      <c r="B245" s="16" t="str">
        <f t="shared" si="1"/>
        <v>November</v>
      </c>
      <c r="C245" s="2" t="s">
        <v>9</v>
      </c>
      <c r="D245" s="2" t="str">
        <f t="shared" si="2"/>
        <v>Monterrey</v>
      </c>
      <c r="E245" s="2" t="s">
        <v>161</v>
      </c>
      <c r="F245" s="2" t="str">
        <f>IFERROR(__xludf.DUMMYFUNCTION("SPLIT(E245, ""-"")"),"Laptop")</f>
        <v>Laptop</v>
      </c>
      <c r="G245" s="2" t="str">
        <f>IFERROR(__xludf.DUMMYFUNCTION("""COMPUTED_VALUE"""),"Oficina")</f>
        <v>Oficina</v>
      </c>
      <c r="H245" s="2" t="str">
        <f>IFERROR(__xludf.DUMMYFUNCTION("""COMPUTED_VALUE"""),"32GB")</f>
        <v>32GB</v>
      </c>
      <c r="I245" s="17">
        <v>719.59</v>
      </c>
      <c r="J245" s="6">
        <v>3.0</v>
      </c>
      <c r="K245" s="17">
        <v>2158.77</v>
      </c>
      <c r="L245" s="2" t="s">
        <v>798</v>
      </c>
      <c r="M245" s="2" t="s">
        <v>799</v>
      </c>
      <c r="N245" s="2" t="s">
        <v>800</v>
      </c>
    </row>
    <row r="246" ht="15.75" customHeight="1">
      <c r="A246" s="18">
        <v>45597.0</v>
      </c>
      <c r="B246" s="16" t="str">
        <f t="shared" si="1"/>
        <v>November</v>
      </c>
      <c r="C246" s="2" t="s">
        <v>57</v>
      </c>
      <c r="D246" s="2" t="str">
        <f t="shared" si="2"/>
        <v>Guadalajara</v>
      </c>
      <c r="E246" s="2" t="s">
        <v>119</v>
      </c>
      <c r="F246" s="2" t="str">
        <f>IFERROR(__xludf.DUMMYFUNCTION("SPLIT(E246, ""-"")"),"Teléfono")</f>
        <v>Teléfono</v>
      </c>
      <c r="G246" s="2" t="str">
        <f>IFERROR(__xludf.DUMMYFUNCTION("""COMPUTED_VALUE"""),"Gama alta")</f>
        <v>Gama alta</v>
      </c>
      <c r="H246" s="2" t="str">
        <f>IFERROR(__xludf.DUMMYFUNCTION("""COMPUTED_VALUE"""),"8GB")</f>
        <v>8GB</v>
      </c>
      <c r="I246" s="17">
        <v>1912.53</v>
      </c>
      <c r="J246" s="6">
        <v>1.0</v>
      </c>
      <c r="K246" s="17">
        <v>1912.53</v>
      </c>
      <c r="L246" s="2" t="s">
        <v>801</v>
      </c>
      <c r="M246" s="2" t="s">
        <v>802</v>
      </c>
      <c r="N246" s="2" t="s">
        <v>803</v>
      </c>
    </row>
    <row r="247" ht="15.75" customHeight="1">
      <c r="A247" s="18">
        <v>45597.0</v>
      </c>
      <c r="B247" s="16" t="str">
        <f t="shared" si="1"/>
        <v>November</v>
      </c>
      <c r="C247" s="2" t="s">
        <v>34</v>
      </c>
      <c r="D247" s="2" t="str">
        <f t="shared" si="2"/>
        <v>Medellín</v>
      </c>
      <c r="E247" s="2" t="s">
        <v>70</v>
      </c>
      <c r="F247" s="2" t="str">
        <f>IFERROR(__xludf.DUMMYFUNCTION("SPLIT(E247, ""-"")"),"Auriculares")</f>
        <v>Auriculares</v>
      </c>
      <c r="G247" s="2" t="str">
        <f>IFERROR(__xludf.DUMMYFUNCTION("""COMPUTED_VALUE"""),"Bluetooth")</f>
        <v>Bluetooth</v>
      </c>
      <c r="H247" s="2" t="str">
        <f>IFERROR(__xludf.DUMMYFUNCTION("""COMPUTED_VALUE"""),"16GB")</f>
        <v>16GB</v>
      </c>
      <c r="I247" s="17">
        <v>2196.83</v>
      </c>
      <c r="J247" s="6">
        <v>5.0</v>
      </c>
      <c r="K247" s="17">
        <v>10984.15</v>
      </c>
      <c r="L247" s="2" t="s">
        <v>804</v>
      </c>
      <c r="M247" s="2" t="s">
        <v>805</v>
      </c>
      <c r="N247" s="2" t="s">
        <v>806</v>
      </c>
    </row>
    <row r="248" ht="15.75" customHeight="1">
      <c r="A248" s="18">
        <v>45597.0</v>
      </c>
      <c r="B248" s="16" t="str">
        <f t="shared" si="1"/>
        <v>November</v>
      </c>
      <c r="C248" s="2" t="s">
        <v>14</v>
      </c>
      <c r="D248" s="2" t="str">
        <f t="shared" si="2"/>
        <v>Bogotá</v>
      </c>
      <c r="E248" s="2" t="s">
        <v>427</v>
      </c>
      <c r="F248" s="2" t="str">
        <f>IFERROR(__xludf.DUMMYFUNCTION("SPLIT(E248, ""-"")"),"Teléfono")</f>
        <v>Teléfono</v>
      </c>
      <c r="G248" s="2" t="str">
        <f>IFERROR(__xludf.DUMMYFUNCTION("""COMPUTED_VALUE"""),"Gama alta")</f>
        <v>Gama alta</v>
      </c>
      <c r="H248" s="2" t="str">
        <f>IFERROR(__xludf.DUMMYFUNCTION("""COMPUTED_VALUE"""),"4GB")</f>
        <v>4GB</v>
      </c>
      <c r="I248" s="17">
        <v>1992.15</v>
      </c>
      <c r="J248" s="6">
        <v>2.0</v>
      </c>
      <c r="K248" s="17">
        <v>3984.3</v>
      </c>
      <c r="L248" s="2" t="s">
        <v>807</v>
      </c>
      <c r="M248" s="2" t="s">
        <v>808</v>
      </c>
      <c r="N248" s="2" t="s">
        <v>809</v>
      </c>
    </row>
    <row r="249" ht="15.75" customHeight="1">
      <c r="A249" s="18">
        <v>45598.0</v>
      </c>
      <c r="B249" s="16" t="str">
        <f t="shared" si="1"/>
        <v>November</v>
      </c>
      <c r="C249" s="2" t="s">
        <v>34</v>
      </c>
      <c r="D249" s="2" t="str">
        <f t="shared" si="2"/>
        <v>Medellín</v>
      </c>
      <c r="E249" s="2" t="s">
        <v>130</v>
      </c>
      <c r="F249" s="2" t="str">
        <f>IFERROR(__xludf.DUMMYFUNCTION("SPLIT(E249, ""-"")"),"Tablet")</f>
        <v>Tablet</v>
      </c>
      <c r="G249" s="2" t="str">
        <f>IFERROR(__xludf.DUMMYFUNCTION("""COMPUTED_VALUE"""),"Pro")</f>
        <v>Pro</v>
      </c>
      <c r="H249" s="2" t="str">
        <f>IFERROR(__xludf.DUMMYFUNCTION("""COMPUTED_VALUE"""),"8GB")</f>
        <v>8GB</v>
      </c>
      <c r="I249" s="17">
        <v>1291.38</v>
      </c>
      <c r="J249" s="6">
        <v>4.0</v>
      </c>
      <c r="K249" s="17">
        <v>5165.52</v>
      </c>
      <c r="L249" s="2" t="s">
        <v>810</v>
      </c>
      <c r="M249" s="2" t="s">
        <v>811</v>
      </c>
      <c r="N249" s="2" t="s">
        <v>812</v>
      </c>
    </row>
    <row r="250" ht="15.75" customHeight="1">
      <c r="A250" s="18">
        <v>45598.0</v>
      </c>
      <c r="B250" s="16" t="str">
        <f t="shared" si="1"/>
        <v>November</v>
      </c>
      <c r="C250" s="2" t="s">
        <v>14</v>
      </c>
      <c r="D250" s="2" t="str">
        <f t="shared" si="2"/>
        <v>Bogotá</v>
      </c>
      <c r="E250" s="2" t="s">
        <v>35</v>
      </c>
      <c r="F250" s="2" t="str">
        <f>IFERROR(__xludf.DUMMYFUNCTION("SPLIT(E250, ""-"")"),"Tablet")</f>
        <v>Tablet</v>
      </c>
      <c r="G250" s="2" t="str">
        <f>IFERROR(__xludf.DUMMYFUNCTION("""COMPUTED_VALUE"""),"Pro")</f>
        <v>Pro</v>
      </c>
      <c r="H250" s="2" t="str">
        <f>IFERROR(__xludf.DUMMYFUNCTION("""COMPUTED_VALUE"""),"4GB")</f>
        <v>4GB</v>
      </c>
      <c r="I250" s="17">
        <v>1522.98</v>
      </c>
      <c r="J250" s="6">
        <v>1.0</v>
      </c>
      <c r="K250" s="17">
        <v>1522.98</v>
      </c>
      <c r="L250" s="2" t="s">
        <v>813</v>
      </c>
      <c r="M250" s="2" t="s">
        <v>814</v>
      </c>
      <c r="N250" s="2" t="s">
        <v>815</v>
      </c>
    </row>
    <row r="251" ht="15.75" customHeight="1">
      <c r="A251" s="18">
        <v>45598.0</v>
      </c>
      <c r="B251" s="16" t="str">
        <f t="shared" si="1"/>
        <v>November</v>
      </c>
      <c r="C251" s="2" t="s">
        <v>57</v>
      </c>
      <c r="D251" s="2" t="str">
        <f t="shared" si="2"/>
        <v>Guadalajara</v>
      </c>
      <c r="E251" s="2" t="s">
        <v>58</v>
      </c>
      <c r="F251" s="2" t="str">
        <f>IFERROR(__xludf.DUMMYFUNCTION("SPLIT(E251, ""-"")"),"Auriculares")</f>
        <v>Auriculares</v>
      </c>
      <c r="G251" s="2" t="str">
        <f>IFERROR(__xludf.DUMMYFUNCTION("""COMPUTED_VALUE"""),"Bluetooth")</f>
        <v>Bluetooth</v>
      </c>
      <c r="H251" s="2" t="str">
        <f>IFERROR(__xludf.DUMMYFUNCTION("""COMPUTED_VALUE"""),"4GB")</f>
        <v>4GB</v>
      </c>
      <c r="I251" s="17">
        <v>1688.92</v>
      </c>
      <c r="J251" s="6">
        <v>5.0</v>
      </c>
      <c r="K251" s="17">
        <v>8444.6</v>
      </c>
      <c r="L251" s="2" t="s">
        <v>816</v>
      </c>
      <c r="M251" s="2" t="s">
        <v>817</v>
      </c>
      <c r="N251" s="2" t="s">
        <v>818</v>
      </c>
    </row>
    <row r="252" ht="15.75" customHeight="1">
      <c r="A252" s="18">
        <v>45599.0</v>
      </c>
      <c r="B252" s="16" t="str">
        <f t="shared" si="1"/>
        <v>November</v>
      </c>
      <c r="C252" s="2" t="s">
        <v>9</v>
      </c>
      <c r="D252" s="2" t="str">
        <f t="shared" si="2"/>
        <v>Monterrey</v>
      </c>
      <c r="E252" s="2" t="s">
        <v>161</v>
      </c>
      <c r="F252" s="2" t="str">
        <f>IFERROR(__xludf.DUMMYFUNCTION("SPLIT(E252, ""-"")"),"Laptop")</f>
        <v>Laptop</v>
      </c>
      <c r="G252" s="2" t="str">
        <f>IFERROR(__xludf.DUMMYFUNCTION("""COMPUTED_VALUE"""),"Oficina")</f>
        <v>Oficina</v>
      </c>
      <c r="H252" s="2" t="str">
        <f>IFERROR(__xludf.DUMMYFUNCTION("""COMPUTED_VALUE"""),"32GB")</f>
        <v>32GB</v>
      </c>
      <c r="I252" s="17">
        <v>2157.37</v>
      </c>
      <c r="J252" s="6">
        <v>5.0</v>
      </c>
      <c r="K252" s="17">
        <v>10786.85</v>
      </c>
      <c r="L252" s="2" t="s">
        <v>819</v>
      </c>
      <c r="M252" s="2" t="s">
        <v>820</v>
      </c>
      <c r="N252" s="2" t="s">
        <v>821</v>
      </c>
    </row>
    <row r="253" ht="15.75" customHeight="1">
      <c r="A253" s="18">
        <v>45599.0</v>
      </c>
      <c r="B253" s="16" t="str">
        <f t="shared" si="1"/>
        <v>November</v>
      </c>
      <c r="C253" s="2" t="s">
        <v>57</v>
      </c>
      <c r="D253" s="2" t="str">
        <f t="shared" si="2"/>
        <v>Guadalajara</v>
      </c>
      <c r="E253" s="2" t="s">
        <v>269</v>
      </c>
      <c r="F253" s="2" t="str">
        <f>IFERROR(__xludf.DUMMYFUNCTION("SPLIT(E253, ""-"")"),"Teléfono")</f>
        <v>Teléfono</v>
      </c>
      <c r="G253" s="2" t="str">
        <f>IFERROR(__xludf.DUMMYFUNCTION("""COMPUTED_VALUE"""),"Gama baja")</f>
        <v>Gama baja</v>
      </c>
      <c r="H253" s="2" t="str">
        <f>IFERROR(__xludf.DUMMYFUNCTION("""COMPUTED_VALUE"""),"32GB")</f>
        <v>32GB</v>
      </c>
      <c r="I253" s="17">
        <v>642.49</v>
      </c>
      <c r="J253" s="6">
        <v>4.0</v>
      </c>
      <c r="K253" s="17">
        <v>2569.96</v>
      </c>
      <c r="L253" s="2" t="s">
        <v>822</v>
      </c>
      <c r="M253" s="2" t="s">
        <v>823</v>
      </c>
      <c r="N253" s="2" t="s">
        <v>824</v>
      </c>
    </row>
    <row r="254" ht="15.75" customHeight="1">
      <c r="A254" s="18">
        <v>45600.0</v>
      </c>
      <c r="B254" s="16" t="str">
        <f t="shared" si="1"/>
        <v>November</v>
      </c>
      <c r="C254" s="2" t="s">
        <v>34</v>
      </c>
      <c r="D254" s="2" t="str">
        <f t="shared" si="2"/>
        <v>Medellín</v>
      </c>
      <c r="E254" s="2" t="s">
        <v>289</v>
      </c>
      <c r="F254" s="2" t="str">
        <f>IFERROR(__xludf.DUMMYFUNCTION("SPLIT(E254, ""-"")"),"Teléfono")</f>
        <v>Teléfono</v>
      </c>
      <c r="G254" s="2" t="str">
        <f>IFERROR(__xludf.DUMMYFUNCTION("""COMPUTED_VALUE"""),"Gama alta")</f>
        <v>Gama alta</v>
      </c>
      <c r="H254" s="2" t="str">
        <f>IFERROR(__xludf.DUMMYFUNCTION("""COMPUTED_VALUE"""),"16GB")</f>
        <v>16GB</v>
      </c>
      <c r="I254" s="17">
        <v>2114.2</v>
      </c>
      <c r="J254" s="6">
        <v>5.0</v>
      </c>
      <c r="K254" s="17">
        <v>10571.0</v>
      </c>
      <c r="L254" s="2" t="s">
        <v>825</v>
      </c>
      <c r="M254" s="2" t="s">
        <v>826</v>
      </c>
      <c r="N254" s="2" t="s">
        <v>827</v>
      </c>
    </row>
    <row r="255" ht="15.75" customHeight="1">
      <c r="A255" s="18">
        <v>45600.0</v>
      </c>
      <c r="B255" s="16" t="str">
        <f t="shared" si="1"/>
        <v>November</v>
      </c>
      <c r="C255" s="2" t="s">
        <v>14</v>
      </c>
      <c r="D255" s="2" t="str">
        <f t="shared" si="2"/>
        <v>Bogotá</v>
      </c>
      <c r="E255" s="2" t="s">
        <v>88</v>
      </c>
      <c r="F255" s="2" t="str">
        <f>IFERROR(__xludf.DUMMYFUNCTION("SPLIT(E255, ""-"")"),"Laptop")</f>
        <v>Laptop</v>
      </c>
      <c r="G255" s="2" t="str">
        <f>IFERROR(__xludf.DUMMYFUNCTION("""COMPUTED_VALUE"""),"Gaming")</f>
        <v>Gaming</v>
      </c>
      <c r="H255" s="2" t="str">
        <f>IFERROR(__xludf.DUMMYFUNCTION("""COMPUTED_VALUE"""),"32GB")</f>
        <v>32GB</v>
      </c>
      <c r="I255" s="17">
        <v>1491.19</v>
      </c>
      <c r="J255" s="6">
        <v>5.0</v>
      </c>
      <c r="K255" s="17">
        <v>7455.95</v>
      </c>
      <c r="L255" s="2" t="s">
        <v>828</v>
      </c>
      <c r="M255" s="2" t="s">
        <v>829</v>
      </c>
      <c r="N255" s="2" t="s">
        <v>830</v>
      </c>
    </row>
    <row r="256" ht="15.75" customHeight="1">
      <c r="A256" s="18">
        <v>45600.0</v>
      </c>
      <c r="B256" s="16" t="str">
        <f t="shared" si="1"/>
        <v>November</v>
      </c>
      <c r="C256" s="2" t="s">
        <v>57</v>
      </c>
      <c r="D256" s="2" t="str">
        <f t="shared" si="2"/>
        <v>Guadalajara</v>
      </c>
      <c r="E256" s="2" t="s">
        <v>130</v>
      </c>
      <c r="F256" s="2" t="str">
        <f>IFERROR(__xludf.DUMMYFUNCTION("SPLIT(E256, ""-"")"),"Tablet")</f>
        <v>Tablet</v>
      </c>
      <c r="G256" s="2" t="str">
        <f>IFERROR(__xludf.DUMMYFUNCTION("""COMPUTED_VALUE"""),"Pro")</f>
        <v>Pro</v>
      </c>
      <c r="H256" s="2" t="str">
        <f>IFERROR(__xludf.DUMMYFUNCTION("""COMPUTED_VALUE"""),"8GB")</f>
        <v>8GB</v>
      </c>
      <c r="I256" s="17">
        <v>1849.07</v>
      </c>
      <c r="J256" s="6">
        <v>5.0</v>
      </c>
      <c r="K256" s="17">
        <v>9245.35</v>
      </c>
      <c r="L256" s="2" t="s">
        <v>831</v>
      </c>
      <c r="M256" s="2" t="s">
        <v>832</v>
      </c>
      <c r="N256" s="2" t="s">
        <v>833</v>
      </c>
    </row>
    <row r="257" ht="15.75" customHeight="1">
      <c r="A257" s="18">
        <v>45600.0</v>
      </c>
      <c r="B257" s="16" t="str">
        <f t="shared" si="1"/>
        <v>November</v>
      </c>
      <c r="C257" s="2" t="s">
        <v>34</v>
      </c>
      <c r="D257" s="2" t="str">
        <f t="shared" si="2"/>
        <v>Medellín</v>
      </c>
      <c r="E257" s="2" t="s">
        <v>834</v>
      </c>
      <c r="F257" s="2" t="str">
        <f>IFERROR(__xludf.DUMMYFUNCTION("SPLIT(E257, ""-"")"),"Teléfono")</f>
        <v>Teléfono</v>
      </c>
      <c r="G257" s="2" t="str">
        <f>IFERROR(__xludf.DUMMYFUNCTION("""COMPUTED_VALUE"""),"Gama alta")</f>
        <v>Gama alta</v>
      </c>
      <c r="H257" s="2" t="str">
        <f>IFERROR(__xludf.DUMMYFUNCTION("""COMPUTED_VALUE"""),"32GB ")</f>
        <v>32GB </v>
      </c>
      <c r="I257" s="17">
        <v>1612.87</v>
      </c>
      <c r="J257" s="6">
        <v>4.0</v>
      </c>
      <c r="K257" s="17">
        <v>6451.48</v>
      </c>
      <c r="L257" s="2" t="s">
        <v>835</v>
      </c>
      <c r="M257" s="2" t="s">
        <v>836</v>
      </c>
      <c r="N257" s="2" t="s">
        <v>837</v>
      </c>
    </row>
    <row r="258" ht="15.75" customHeight="1">
      <c r="A258" s="18">
        <v>45601.0</v>
      </c>
      <c r="B258" s="16" t="str">
        <f t="shared" si="1"/>
        <v>November</v>
      </c>
      <c r="C258" s="2" t="s">
        <v>74</v>
      </c>
      <c r="D258" s="2" t="str">
        <f t="shared" si="2"/>
        <v>Cali</v>
      </c>
      <c r="E258" s="2" t="s">
        <v>119</v>
      </c>
      <c r="F258" s="2" t="str">
        <f>IFERROR(__xludf.DUMMYFUNCTION("SPLIT(E258, ""-"")"),"Teléfono")</f>
        <v>Teléfono</v>
      </c>
      <c r="G258" s="2" t="str">
        <f>IFERROR(__xludf.DUMMYFUNCTION("""COMPUTED_VALUE"""),"Gama alta")</f>
        <v>Gama alta</v>
      </c>
      <c r="H258" s="2" t="str">
        <f>IFERROR(__xludf.DUMMYFUNCTION("""COMPUTED_VALUE"""),"8GB")</f>
        <v>8GB</v>
      </c>
      <c r="I258" s="17">
        <v>670.67</v>
      </c>
      <c r="J258" s="6">
        <v>4.0</v>
      </c>
      <c r="K258" s="17">
        <v>2682.68</v>
      </c>
      <c r="L258" s="2" t="s">
        <v>838</v>
      </c>
      <c r="M258" s="2" t="s">
        <v>839</v>
      </c>
      <c r="N258" s="2" t="s">
        <v>840</v>
      </c>
    </row>
    <row r="259" ht="15.75" customHeight="1">
      <c r="A259" s="18">
        <v>45601.0</v>
      </c>
      <c r="B259" s="16" t="str">
        <f t="shared" si="1"/>
        <v>November</v>
      </c>
      <c r="C259" s="3" t="s">
        <v>29</v>
      </c>
      <c r="D259" s="2" t="str">
        <f t="shared" si="2"/>
        <v>Ciudad De Mexico</v>
      </c>
      <c r="E259" s="2" t="s">
        <v>151</v>
      </c>
      <c r="F259" s="2" t="str">
        <f>IFERROR(__xludf.DUMMYFUNCTION("SPLIT(E259, ""-"")"),"Laptop")</f>
        <v>Laptop</v>
      </c>
      <c r="G259" s="2" t="str">
        <f>IFERROR(__xludf.DUMMYFUNCTION("""COMPUTED_VALUE"""),"Gaming")</f>
        <v>Gaming</v>
      </c>
      <c r="H259" s="2" t="str">
        <f>IFERROR(__xludf.DUMMYFUNCTION("""COMPUTED_VALUE"""),"8GB")</f>
        <v>8GB</v>
      </c>
      <c r="I259" s="17">
        <v>1040.78</v>
      </c>
      <c r="J259" s="6">
        <v>2.0</v>
      </c>
      <c r="K259" s="17">
        <v>2081.56</v>
      </c>
      <c r="L259" s="2" t="s">
        <v>841</v>
      </c>
      <c r="M259" s="2" t="s">
        <v>842</v>
      </c>
      <c r="N259" s="2" t="s">
        <v>843</v>
      </c>
    </row>
    <row r="260" ht="15.75" customHeight="1">
      <c r="A260" s="18">
        <v>45601.0</v>
      </c>
      <c r="B260" s="16" t="str">
        <f t="shared" si="1"/>
        <v>November</v>
      </c>
      <c r="C260" s="3" t="s">
        <v>29</v>
      </c>
      <c r="D260" s="2" t="str">
        <f t="shared" si="2"/>
        <v>Ciudad De Mexico</v>
      </c>
      <c r="E260" s="2" t="s">
        <v>256</v>
      </c>
      <c r="F260" s="2" t="str">
        <f>IFERROR(__xludf.DUMMYFUNCTION("SPLIT(E260, ""-"")"),"Auriculares")</f>
        <v>Auriculares</v>
      </c>
      <c r="G260" s="2" t="str">
        <f>IFERROR(__xludf.DUMMYFUNCTION("""COMPUTED_VALUE"""),"Cancelación de ruido")</f>
        <v>Cancelación de ruido</v>
      </c>
      <c r="H260" s="2" t="str">
        <f>IFERROR(__xludf.DUMMYFUNCTION("""COMPUTED_VALUE"""),"8GB")</f>
        <v>8GB</v>
      </c>
      <c r="I260" s="17">
        <v>1050.44</v>
      </c>
      <c r="J260" s="6">
        <v>5.0</v>
      </c>
      <c r="K260" s="17">
        <v>5252.2</v>
      </c>
      <c r="L260" s="2" t="s">
        <v>844</v>
      </c>
      <c r="M260" s="2" t="s">
        <v>845</v>
      </c>
      <c r="N260" s="2" t="s">
        <v>846</v>
      </c>
    </row>
    <row r="261" ht="15.75" customHeight="1">
      <c r="A261" s="22">
        <v>45601.0</v>
      </c>
      <c r="B261" s="16" t="str">
        <f t="shared" si="1"/>
        <v>November</v>
      </c>
      <c r="C261" s="2" t="s">
        <v>87</v>
      </c>
      <c r="D261" s="2" t="str">
        <f t="shared" si="2"/>
        <v>Tulum</v>
      </c>
      <c r="E261" s="2" t="s">
        <v>222</v>
      </c>
      <c r="F261" s="2" t="str">
        <f>IFERROR(__xludf.DUMMYFUNCTION("SPLIT(E261, ""-"")"),"Laptop")</f>
        <v>Laptop</v>
      </c>
      <c r="G261" s="2" t="str">
        <f>IFERROR(__xludf.DUMMYFUNCTION("""COMPUTED_VALUE"""),"Gaming")</f>
        <v>Gaming</v>
      </c>
      <c r="H261" s="2" t="str">
        <f>IFERROR(__xludf.DUMMYFUNCTION("""COMPUTED_VALUE"""),"16GB")</f>
        <v>16GB</v>
      </c>
      <c r="I261" s="17">
        <v>808.32</v>
      </c>
      <c r="J261" s="6">
        <v>4.0</v>
      </c>
      <c r="K261" s="17">
        <v>3233.28</v>
      </c>
      <c r="L261" s="2" t="s">
        <v>847</v>
      </c>
      <c r="M261" s="2" t="s">
        <v>848</v>
      </c>
      <c r="N261" s="2" t="s">
        <v>849</v>
      </c>
    </row>
    <row r="262" ht="15.75" customHeight="1">
      <c r="A262" s="18">
        <v>45601.0</v>
      </c>
      <c r="B262" s="16" t="str">
        <f t="shared" si="1"/>
        <v>November</v>
      </c>
      <c r="C262" s="3" t="s">
        <v>29</v>
      </c>
      <c r="D262" s="2" t="str">
        <f t="shared" si="2"/>
        <v>Ciudad De Mexico</v>
      </c>
      <c r="E262" s="2" t="s">
        <v>289</v>
      </c>
      <c r="F262" s="2" t="str">
        <f>IFERROR(__xludf.DUMMYFUNCTION("SPLIT(E262, ""-"")"),"Teléfono")</f>
        <v>Teléfono</v>
      </c>
      <c r="G262" s="2" t="str">
        <f>IFERROR(__xludf.DUMMYFUNCTION("""COMPUTED_VALUE"""),"Gama alta")</f>
        <v>Gama alta</v>
      </c>
      <c r="H262" s="2" t="str">
        <f>IFERROR(__xludf.DUMMYFUNCTION("""COMPUTED_VALUE"""),"16GB")</f>
        <v>16GB</v>
      </c>
      <c r="I262" s="17">
        <v>2092.87</v>
      </c>
      <c r="J262" s="6">
        <v>4.0</v>
      </c>
      <c r="K262" s="17">
        <v>8371.48</v>
      </c>
      <c r="L262" s="2" t="s">
        <v>850</v>
      </c>
      <c r="M262" s="2" t="s">
        <v>851</v>
      </c>
      <c r="N262" s="2" t="s">
        <v>852</v>
      </c>
    </row>
    <row r="263" ht="15.75" customHeight="1">
      <c r="A263" s="18">
        <v>45601.0</v>
      </c>
      <c r="B263" s="16" t="str">
        <f t="shared" si="1"/>
        <v>November</v>
      </c>
      <c r="C263" s="2" t="s">
        <v>57</v>
      </c>
      <c r="D263" s="2" t="str">
        <f t="shared" si="2"/>
        <v>Guadalajara</v>
      </c>
      <c r="E263" s="2" t="s">
        <v>289</v>
      </c>
      <c r="F263" s="2" t="str">
        <f>IFERROR(__xludf.DUMMYFUNCTION("SPLIT(E263, ""-"")"),"Teléfono")</f>
        <v>Teléfono</v>
      </c>
      <c r="G263" s="2" t="str">
        <f>IFERROR(__xludf.DUMMYFUNCTION("""COMPUTED_VALUE"""),"Gama alta")</f>
        <v>Gama alta</v>
      </c>
      <c r="H263" s="2" t="str">
        <f>IFERROR(__xludf.DUMMYFUNCTION("""COMPUTED_VALUE"""),"16GB")</f>
        <v>16GB</v>
      </c>
      <c r="I263" s="17">
        <v>1826.03</v>
      </c>
      <c r="J263" s="6">
        <v>2.0</v>
      </c>
      <c r="K263" s="17">
        <v>3652.06</v>
      </c>
      <c r="L263" s="2" t="s">
        <v>853</v>
      </c>
      <c r="M263" s="2" t="s">
        <v>854</v>
      </c>
      <c r="N263" s="2" t="s">
        <v>855</v>
      </c>
    </row>
    <row r="264" ht="15.75" customHeight="1">
      <c r="A264" s="18">
        <v>45602.0</v>
      </c>
      <c r="B264" s="16" t="str">
        <f t="shared" si="1"/>
        <v>November</v>
      </c>
      <c r="C264" s="2" t="s">
        <v>14</v>
      </c>
      <c r="D264" s="2" t="str">
        <f t="shared" si="2"/>
        <v>Bogotá</v>
      </c>
      <c r="E264" s="2" t="s">
        <v>226</v>
      </c>
      <c r="F264" s="2" t="str">
        <f>IFERROR(__xludf.DUMMYFUNCTION("SPLIT(E264, ""-"")"),"Laptop")</f>
        <v>Laptop</v>
      </c>
      <c r="G264" s="2" t="str">
        <f>IFERROR(__xludf.DUMMYFUNCTION("""COMPUTED_VALUE"""),"Oficina")</f>
        <v>Oficina</v>
      </c>
      <c r="H264" s="2" t="str">
        <f>IFERROR(__xludf.DUMMYFUNCTION("""COMPUTED_VALUE"""),"4GB")</f>
        <v>4GB</v>
      </c>
      <c r="I264" s="17">
        <v>1945.67</v>
      </c>
      <c r="J264" s="6">
        <v>4.0</v>
      </c>
      <c r="K264" s="17">
        <v>7782.68</v>
      </c>
      <c r="L264" s="2" t="s">
        <v>856</v>
      </c>
      <c r="M264" s="2" t="s">
        <v>857</v>
      </c>
      <c r="N264" s="2" t="s">
        <v>858</v>
      </c>
    </row>
    <row r="265" ht="15.75" customHeight="1">
      <c r="A265" s="18">
        <v>45602.0</v>
      </c>
      <c r="B265" s="16" t="str">
        <f t="shared" si="1"/>
        <v>November</v>
      </c>
      <c r="C265" s="2" t="s">
        <v>34</v>
      </c>
      <c r="D265" s="2" t="str">
        <f t="shared" si="2"/>
        <v>Medellín</v>
      </c>
      <c r="E265" s="2" t="s">
        <v>427</v>
      </c>
      <c r="F265" s="2" t="str">
        <f>IFERROR(__xludf.DUMMYFUNCTION("SPLIT(E265, ""-"")"),"Teléfono")</f>
        <v>Teléfono</v>
      </c>
      <c r="G265" s="2" t="str">
        <f>IFERROR(__xludf.DUMMYFUNCTION("""COMPUTED_VALUE"""),"Gama alta")</f>
        <v>Gama alta</v>
      </c>
      <c r="H265" s="2" t="str">
        <f>IFERROR(__xludf.DUMMYFUNCTION("""COMPUTED_VALUE"""),"4GB")</f>
        <v>4GB</v>
      </c>
      <c r="I265" s="17">
        <v>949.27</v>
      </c>
      <c r="J265" s="6">
        <v>2.0</v>
      </c>
      <c r="K265" s="17">
        <v>1898.54</v>
      </c>
      <c r="L265" s="2" t="s">
        <v>859</v>
      </c>
      <c r="M265" s="2" t="s">
        <v>860</v>
      </c>
      <c r="N265" s="2" t="s">
        <v>861</v>
      </c>
    </row>
    <row r="266" ht="15.75" customHeight="1">
      <c r="A266" s="18">
        <v>45603.0</v>
      </c>
      <c r="B266" s="16" t="str">
        <f t="shared" si="1"/>
        <v>November</v>
      </c>
      <c r="C266" s="3" t="s">
        <v>29</v>
      </c>
      <c r="D266" s="2" t="str">
        <f t="shared" si="2"/>
        <v>Ciudad De Mexico</v>
      </c>
      <c r="E266" s="2" t="s">
        <v>66</v>
      </c>
      <c r="F266" s="2" t="str">
        <f>IFERROR(__xludf.DUMMYFUNCTION("SPLIT(E266, ""-"")"),"Tablet")</f>
        <v>Tablet</v>
      </c>
      <c r="G266" s="2" t="str">
        <f>IFERROR(__xludf.DUMMYFUNCTION("""COMPUTED_VALUE"""),"Estándar")</f>
        <v>Estándar</v>
      </c>
      <c r="H266" s="2" t="str">
        <f>IFERROR(__xludf.DUMMYFUNCTION("""COMPUTED_VALUE"""),"4GB")</f>
        <v>4GB</v>
      </c>
      <c r="I266" s="17">
        <v>127.95</v>
      </c>
      <c r="J266" s="6">
        <v>4.0</v>
      </c>
      <c r="K266" s="17">
        <v>511.8</v>
      </c>
      <c r="L266" s="2" t="s">
        <v>862</v>
      </c>
      <c r="M266" s="2" t="s">
        <v>863</v>
      </c>
      <c r="N266" s="2" t="s">
        <v>864</v>
      </c>
    </row>
    <row r="267" ht="15.75" customHeight="1">
      <c r="A267" s="18">
        <v>45603.0</v>
      </c>
      <c r="B267" s="16" t="str">
        <f t="shared" si="1"/>
        <v>November</v>
      </c>
      <c r="C267" s="2" t="s">
        <v>74</v>
      </c>
      <c r="D267" s="2" t="str">
        <f t="shared" si="2"/>
        <v>Cali</v>
      </c>
      <c r="E267" s="2" t="s">
        <v>662</v>
      </c>
      <c r="F267" s="2" t="str">
        <f>IFERROR(__xludf.DUMMYFUNCTION("SPLIT(E267, ""-"")"),"Auriculares")</f>
        <v>Auriculares</v>
      </c>
      <c r="G267" s="2" t="str">
        <f>IFERROR(__xludf.DUMMYFUNCTION("""COMPUTED_VALUE"""),"Cancelación de ruido")</f>
        <v>Cancelación de ruido</v>
      </c>
      <c r="H267" s="2" t="str">
        <f>IFERROR(__xludf.DUMMYFUNCTION("""COMPUTED_VALUE"""),"32GB")</f>
        <v>32GB</v>
      </c>
      <c r="I267" s="17">
        <v>371.34</v>
      </c>
      <c r="J267" s="6">
        <v>3.0</v>
      </c>
      <c r="K267" s="17">
        <v>1114.02</v>
      </c>
      <c r="L267" s="2" t="s">
        <v>865</v>
      </c>
      <c r="M267" s="2" t="s">
        <v>866</v>
      </c>
      <c r="N267" s="2" t="s">
        <v>867</v>
      </c>
    </row>
    <row r="268" ht="15.75" customHeight="1">
      <c r="A268" s="18">
        <v>45603.0</v>
      </c>
      <c r="B268" s="16" t="str">
        <f t="shared" si="1"/>
        <v>November</v>
      </c>
      <c r="C268" s="2" t="s">
        <v>34</v>
      </c>
      <c r="D268" s="2" t="str">
        <f t="shared" si="2"/>
        <v>Medellín</v>
      </c>
      <c r="E268" s="2" t="s">
        <v>92</v>
      </c>
      <c r="F268" s="2" t="str">
        <f>IFERROR(__xludf.DUMMYFUNCTION("SPLIT(E268, ""-"")"),"Tablet")</f>
        <v>Tablet</v>
      </c>
      <c r="G268" s="2" t="str">
        <f>IFERROR(__xludf.DUMMYFUNCTION("""COMPUTED_VALUE"""),"Mini")</f>
        <v>Mini</v>
      </c>
      <c r="H268" s="2" t="str">
        <f>IFERROR(__xludf.DUMMYFUNCTION("""COMPUTED_VALUE"""),"8GB")</f>
        <v>8GB</v>
      </c>
      <c r="I268" s="17">
        <v>700.01</v>
      </c>
      <c r="J268" s="6">
        <v>3.0</v>
      </c>
      <c r="K268" s="17">
        <v>2100.03</v>
      </c>
      <c r="L268" s="2" t="s">
        <v>868</v>
      </c>
      <c r="M268" s="2" t="s">
        <v>869</v>
      </c>
      <c r="N268" s="2" t="s">
        <v>870</v>
      </c>
    </row>
    <row r="269" ht="15.75" customHeight="1">
      <c r="A269" s="18">
        <v>45603.0</v>
      </c>
      <c r="B269" s="16" t="str">
        <f t="shared" si="1"/>
        <v>November</v>
      </c>
      <c r="C269" s="2" t="s">
        <v>74</v>
      </c>
      <c r="D269" s="2" t="str">
        <f t="shared" si="2"/>
        <v>Cali</v>
      </c>
      <c r="E269" s="2" t="s">
        <v>386</v>
      </c>
      <c r="F269" s="2" t="str">
        <f>IFERROR(__xludf.DUMMYFUNCTION("SPLIT(E269, ""-"")"),"Auriculares")</f>
        <v>Auriculares</v>
      </c>
      <c r="G269" s="2" t="str">
        <f>IFERROR(__xludf.DUMMYFUNCTION("""COMPUTED_VALUE"""),"Cancelación de ruido")</f>
        <v>Cancelación de ruido</v>
      </c>
      <c r="H269" s="2" t="str">
        <f>IFERROR(__xludf.DUMMYFUNCTION("""COMPUTED_VALUE"""),"4GB")</f>
        <v>4GB</v>
      </c>
      <c r="I269" s="17">
        <v>2242.24</v>
      </c>
      <c r="J269" s="6">
        <v>1.0</v>
      </c>
      <c r="K269" s="17">
        <v>2242.24</v>
      </c>
      <c r="L269" s="2" t="s">
        <v>871</v>
      </c>
      <c r="M269" s="2" t="s">
        <v>872</v>
      </c>
      <c r="N269" s="2" t="s">
        <v>873</v>
      </c>
    </row>
    <row r="270" ht="15.75" customHeight="1">
      <c r="A270" s="22">
        <v>45603.0</v>
      </c>
      <c r="B270" s="16" t="str">
        <f t="shared" si="1"/>
        <v>November</v>
      </c>
      <c r="C270" s="2" t="s">
        <v>14</v>
      </c>
      <c r="D270" s="2" t="str">
        <f t="shared" si="2"/>
        <v>Bogotá</v>
      </c>
      <c r="E270" s="2" t="s">
        <v>130</v>
      </c>
      <c r="F270" s="2" t="str">
        <f>IFERROR(__xludf.DUMMYFUNCTION("SPLIT(E270, ""-"")"),"Tablet")</f>
        <v>Tablet</v>
      </c>
      <c r="G270" s="2" t="str">
        <f>IFERROR(__xludf.DUMMYFUNCTION("""COMPUTED_VALUE"""),"Pro")</f>
        <v>Pro</v>
      </c>
      <c r="H270" s="2" t="str">
        <f>IFERROR(__xludf.DUMMYFUNCTION("""COMPUTED_VALUE"""),"8GB")</f>
        <v>8GB</v>
      </c>
      <c r="I270" s="17">
        <v>1912.83</v>
      </c>
      <c r="J270" s="6">
        <v>2.0</v>
      </c>
      <c r="K270" s="17">
        <v>3825.66</v>
      </c>
      <c r="L270" s="2" t="s">
        <v>874</v>
      </c>
      <c r="M270" s="2" t="s">
        <v>875</v>
      </c>
      <c r="N270" s="2" t="s">
        <v>876</v>
      </c>
    </row>
    <row r="271" ht="15.75" customHeight="1">
      <c r="A271" s="22">
        <v>45603.0</v>
      </c>
      <c r="B271" s="16" t="str">
        <f t="shared" si="1"/>
        <v>November</v>
      </c>
      <c r="C271" s="2" t="s">
        <v>9</v>
      </c>
      <c r="D271" s="2" t="str">
        <f t="shared" si="2"/>
        <v>Monterrey</v>
      </c>
      <c r="E271" s="2" t="s">
        <v>119</v>
      </c>
      <c r="F271" s="2" t="str">
        <f>IFERROR(__xludf.DUMMYFUNCTION("SPLIT(E271, ""-"")"),"Teléfono")</f>
        <v>Teléfono</v>
      </c>
      <c r="G271" s="2" t="str">
        <f>IFERROR(__xludf.DUMMYFUNCTION("""COMPUTED_VALUE"""),"Gama alta")</f>
        <v>Gama alta</v>
      </c>
      <c r="H271" s="2" t="str">
        <f>IFERROR(__xludf.DUMMYFUNCTION("""COMPUTED_VALUE"""),"8GB")</f>
        <v>8GB</v>
      </c>
      <c r="I271" s="17">
        <v>634.44</v>
      </c>
      <c r="J271" s="6">
        <v>4.0</v>
      </c>
      <c r="K271" s="17">
        <v>2537.76</v>
      </c>
      <c r="L271" s="2" t="s">
        <v>877</v>
      </c>
      <c r="M271" s="2" t="s">
        <v>878</v>
      </c>
      <c r="N271" s="2" t="s">
        <v>879</v>
      </c>
    </row>
    <row r="272" ht="15.75" customHeight="1">
      <c r="A272" s="22">
        <v>45603.0</v>
      </c>
      <c r="B272" s="16" t="str">
        <f t="shared" si="1"/>
        <v>November</v>
      </c>
      <c r="C272" s="2" t="s">
        <v>34</v>
      </c>
      <c r="D272" s="2" t="str">
        <f t="shared" si="2"/>
        <v>Medellín</v>
      </c>
      <c r="E272" s="2" t="s">
        <v>252</v>
      </c>
      <c r="F272" s="2" t="str">
        <f>IFERROR(__xludf.DUMMYFUNCTION("SPLIT(E272, ""-"")"),"Auriculares")</f>
        <v>Auriculares</v>
      </c>
      <c r="G272" s="2" t="str">
        <f>IFERROR(__xludf.DUMMYFUNCTION("""COMPUTED_VALUE"""),"Bluetooth")</f>
        <v>Bluetooth</v>
      </c>
      <c r="H272" s="2" t="str">
        <f>IFERROR(__xludf.DUMMYFUNCTION("""COMPUTED_VALUE"""),"8GB")</f>
        <v>8GB</v>
      </c>
      <c r="I272" s="17">
        <v>1270.75</v>
      </c>
      <c r="J272" s="6">
        <v>5.0</v>
      </c>
      <c r="K272" s="17">
        <v>6353.75</v>
      </c>
      <c r="L272" s="2" t="s">
        <v>880</v>
      </c>
      <c r="M272" s="2" t="s">
        <v>881</v>
      </c>
      <c r="N272" s="2" t="s">
        <v>882</v>
      </c>
    </row>
    <row r="273" ht="15.75" customHeight="1">
      <c r="A273" s="18">
        <v>45603.0</v>
      </c>
      <c r="B273" s="16" t="str">
        <f t="shared" si="1"/>
        <v>November</v>
      </c>
      <c r="C273" s="2" t="s">
        <v>14</v>
      </c>
      <c r="D273" s="2" t="str">
        <f t="shared" si="2"/>
        <v>Bogotá</v>
      </c>
      <c r="E273" s="2" t="s">
        <v>58</v>
      </c>
      <c r="F273" s="2" t="str">
        <f>IFERROR(__xludf.DUMMYFUNCTION("SPLIT(E273, ""-"")"),"Auriculares")</f>
        <v>Auriculares</v>
      </c>
      <c r="G273" s="2" t="str">
        <f>IFERROR(__xludf.DUMMYFUNCTION("""COMPUTED_VALUE"""),"Bluetooth")</f>
        <v>Bluetooth</v>
      </c>
      <c r="H273" s="2" t="str">
        <f>IFERROR(__xludf.DUMMYFUNCTION("""COMPUTED_VALUE"""),"4GB")</f>
        <v>4GB</v>
      </c>
      <c r="I273" s="17">
        <v>841.48</v>
      </c>
      <c r="J273" s="6">
        <v>2.0</v>
      </c>
      <c r="K273" s="17">
        <v>1682.96</v>
      </c>
      <c r="L273" s="2" t="s">
        <v>883</v>
      </c>
      <c r="M273" s="2" t="s">
        <v>884</v>
      </c>
      <c r="N273" s="2" t="s">
        <v>885</v>
      </c>
    </row>
    <row r="274" ht="15.75" customHeight="1">
      <c r="A274" s="18">
        <v>45604.0</v>
      </c>
      <c r="B274" s="16" t="str">
        <f t="shared" si="1"/>
        <v>November</v>
      </c>
      <c r="C274" s="2" t="s">
        <v>34</v>
      </c>
      <c r="D274" s="2" t="str">
        <f t="shared" si="2"/>
        <v>Medellín</v>
      </c>
      <c r="E274" s="2" t="s">
        <v>53</v>
      </c>
      <c r="F274" s="2" t="str">
        <f>IFERROR(__xludf.DUMMYFUNCTION("SPLIT(E274, ""-"")"),"Laptop")</f>
        <v>Laptop</v>
      </c>
      <c r="G274" s="2" t="str">
        <f>IFERROR(__xludf.DUMMYFUNCTION("""COMPUTED_VALUE"""),"Oficina")</f>
        <v>Oficina</v>
      </c>
      <c r="H274" s="2" t="str">
        <f>IFERROR(__xludf.DUMMYFUNCTION("""COMPUTED_VALUE"""),"8GB")</f>
        <v>8GB</v>
      </c>
      <c r="I274" s="17">
        <v>1656.59</v>
      </c>
      <c r="J274" s="6">
        <v>1.0</v>
      </c>
      <c r="K274" s="17">
        <v>1656.59</v>
      </c>
      <c r="L274" s="2" t="s">
        <v>886</v>
      </c>
      <c r="M274" s="2" t="s">
        <v>887</v>
      </c>
      <c r="N274" s="2" t="s">
        <v>888</v>
      </c>
    </row>
    <row r="275" ht="15.75" customHeight="1">
      <c r="A275" s="18">
        <v>45604.0</v>
      </c>
      <c r="B275" s="16" t="str">
        <f t="shared" si="1"/>
        <v>November</v>
      </c>
      <c r="C275" s="2" t="s">
        <v>74</v>
      </c>
      <c r="D275" s="2" t="str">
        <f t="shared" si="2"/>
        <v>Cali</v>
      </c>
      <c r="E275" s="2" t="s">
        <v>215</v>
      </c>
      <c r="F275" s="2" t="str">
        <f>IFERROR(__xludf.DUMMYFUNCTION("SPLIT(E275, ""-"")"),"Teléfono")</f>
        <v>Teléfono</v>
      </c>
      <c r="G275" s="2" t="str">
        <f>IFERROR(__xludf.DUMMYFUNCTION("""COMPUTED_VALUE"""),"Gama media")</f>
        <v>Gama media</v>
      </c>
      <c r="H275" s="2" t="str">
        <f>IFERROR(__xludf.DUMMYFUNCTION("""COMPUTED_VALUE"""),"4GB")</f>
        <v>4GB</v>
      </c>
      <c r="I275" s="17">
        <v>762.46</v>
      </c>
      <c r="J275" s="6">
        <v>1.0</v>
      </c>
      <c r="K275" s="17">
        <v>762.46</v>
      </c>
      <c r="L275" s="2" t="s">
        <v>889</v>
      </c>
      <c r="M275" s="2" t="s">
        <v>890</v>
      </c>
      <c r="N275" s="2" t="s">
        <v>891</v>
      </c>
    </row>
    <row r="276" ht="15.75" customHeight="1">
      <c r="A276" s="18">
        <v>45604.0</v>
      </c>
      <c r="B276" s="16" t="str">
        <f t="shared" si="1"/>
        <v>November</v>
      </c>
      <c r="C276" s="2" t="s">
        <v>9</v>
      </c>
      <c r="D276" s="2" t="str">
        <f t="shared" si="2"/>
        <v>Monterrey</v>
      </c>
      <c r="E276" s="2" t="s">
        <v>386</v>
      </c>
      <c r="F276" s="2" t="str">
        <f>IFERROR(__xludf.DUMMYFUNCTION("SPLIT(E276, ""-"")"),"Auriculares")</f>
        <v>Auriculares</v>
      </c>
      <c r="G276" s="2" t="str">
        <f>IFERROR(__xludf.DUMMYFUNCTION("""COMPUTED_VALUE"""),"Cancelación de ruido")</f>
        <v>Cancelación de ruido</v>
      </c>
      <c r="H276" s="2" t="str">
        <f>IFERROR(__xludf.DUMMYFUNCTION("""COMPUTED_VALUE"""),"4GB")</f>
        <v>4GB</v>
      </c>
      <c r="I276" s="17">
        <v>1662.81</v>
      </c>
      <c r="J276" s="6">
        <v>5.0</v>
      </c>
      <c r="K276" s="17">
        <v>8314.05</v>
      </c>
      <c r="L276" s="2" t="s">
        <v>892</v>
      </c>
      <c r="M276" s="2" t="s">
        <v>893</v>
      </c>
      <c r="N276" s="2" t="s">
        <v>894</v>
      </c>
    </row>
    <row r="277" ht="15.75" customHeight="1">
      <c r="A277" s="18">
        <v>45604.0</v>
      </c>
      <c r="B277" s="16" t="str">
        <f t="shared" si="1"/>
        <v>November</v>
      </c>
      <c r="C277" s="2" t="s">
        <v>34</v>
      </c>
      <c r="D277" s="2" t="str">
        <f t="shared" si="2"/>
        <v>Medellín</v>
      </c>
      <c r="E277" s="2" t="s">
        <v>269</v>
      </c>
      <c r="F277" s="2" t="str">
        <f>IFERROR(__xludf.DUMMYFUNCTION("SPLIT(E277, ""-"")"),"Teléfono")</f>
        <v>Teléfono</v>
      </c>
      <c r="G277" s="2" t="str">
        <f>IFERROR(__xludf.DUMMYFUNCTION("""COMPUTED_VALUE"""),"Gama baja")</f>
        <v>Gama baja</v>
      </c>
      <c r="H277" s="2" t="str">
        <f>IFERROR(__xludf.DUMMYFUNCTION("""COMPUTED_VALUE"""),"32GB")</f>
        <v>32GB</v>
      </c>
      <c r="I277" s="17">
        <v>427.92</v>
      </c>
      <c r="J277" s="6">
        <v>2.0</v>
      </c>
      <c r="K277" s="17">
        <v>855.84</v>
      </c>
      <c r="L277" s="3" t="s">
        <v>895</v>
      </c>
      <c r="M277" s="2" t="s">
        <v>896</v>
      </c>
      <c r="N277" s="2" t="s">
        <v>897</v>
      </c>
    </row>
    <row r="278" ht="15.75" customHeight="1">
      <c r="A278" s="18">
        <v>45605.0</v>
      </c>
      <c r="B278" s="16" t="str">
        <f t="shared" si="1"/>
        <v>November</v>
      </c>
      <c r="C278" s="3" t="s">
        <v>29</v>
      </c>
      <c r="D278" s="2" t="str">
        <f t="shared" si="2"/>
        <v>Ciudad De Mexico</v>
      </c>
      <c r="E278" s="2" t="s">
        <v>279</v>
      </c>
      <c r="F278" s="2" t="str">
        <f>IFERROR(__xludf.DUMMYFUNCTION("SPLIT(E278, ""-"")"),"Tablet")</f>
        <v>Tablet</v>
      </c>
      <c r="G278" s="2" t="str">
        <f>IFERROR(__xludf.DUMMYFUNCTION("""COMPUTED_VALUE"""),"Pro")</f>
        <v>Pro</v>
      </c>
      <c r="H278" s="2" t="str">
        <f>IFERROR(__xludf.DUMMYFUNCTION("""COMPUTED_VALUE"""),"16GB")</f>
        <v>16GB</v>
      </c>
      <c r="I278" s="17">
        <v>271.11</v>
      </c>
      <c r="J278" s="6">
        <v>2.0</v>
      </c>
      <c r="K278" s="17">
        <v>542.22</v>
      </c>
      <c r="L278" s="2" t="s">
        <v>898</v>
      </c>
      <c r="M278" s="2" t="s">
        <v>899</v>
      </c>
      <c r="N278" s="2" t="s">
        <v>900</v>
      </c>
    </row>
    <row r="279" ht="15.75" customHeight="1">
      <c r="A279" s="18">
        <v>45605.0</v>
      </c>
      <c r="B279" s="16" t="str">
        <f t="shared" si="1"/>
        <v>November</v>
      </c>
      <c r="C279" s="2" t="s">
        <v>34</v>
      </c>
      <c r="D279" s="2" t="str">
        <f t="shared" si="2"/>
        <v>Medellín</v>
      </c>
      <c r="E279" s="2" t="s">
        <v>386</v>
      </c>
      <c r="F279" s="2" t="str">
        <f>IFERROR(__xludf.DUMMYFUNCTION("SPLIT(E279, ""-"")"),"Auriculares")</f>
        <v>Auriculares</v>
      </c>
      <c r="G279" s="2" t="str">
        <f>IFERROR(__xludf.DUMMYFUNCTION("""COMPUTED_VALUE"""),"Cancelación de ruido")</f>
        <v>Cancelación de ruido</v>
      </c>
      <c r="H279" s="2" t="str">
        <f>IFERROR(__xludf.DUMMYFUNCTION("""COMPUTED_VALUE"""),"4GB")</f>
        <v>4GB</v>
      </c>
      <c r="I279" s="17">
        <v>1112.81</v>
      </c>
      <c r="J279" s="6">
        <v>1.0</v>
      </c>
      <c r="K279" s="17">
        <v>1112.81</v>
      </c>
      <c r="L279" s="2" t="s">
        <v>901</v>
      </c>
      <c r="M279" s="2" t="s">
        <v>902</v>
      </c>
      <c r="N279" s="2" t="s">
        <v>903</v>
      </c>
    </row>
    <row r="280" ht="15.75" customHeight="1">
      <c r="A280" s="18">
        <v>45605.0</v>
      </c>
      <c r="B280" s="16" t="str">
        <f t="shared" si="1"/>
        <v>November</v>
      </c>
      <c r="C280" s="2" t="s">
        <v>34</v>
      </c>
      <c r="D280" s="2" t="str">
        <f t="shared" si="2"/>
        <v>Medellín</v>
      </c>
      <c r="E280" s="2" t="s">
        <v>30</v>
      </c>
      <c r="F280" s="2" t="str">
        <f>IFERROR(__xludf.DUMMYFUNCTION("SPLIT(E280, ""-"")"),"Teléfono")</f>
        <v>Teléfono</v>
      </c>
      <c r="G280" s="2" t="str">
        <f>IFERROR(__xludf.DUMMYFUNCTION("""COMPUTED_VALUE"""),"Gama alta")</f>
        <v>Gama alta</v>
      </c>
      <c r="H280" s="2" t="str">
        <f>IFERROR(__xludf.DUMMYFUNCTION("""COMPUTED_VALUE"""),"32GB")</f>
        <v>32GB</v>
      </c>
      <c r="I280" s="17">
        <v>720.63</v>
      </c>
      <c r="J280" s="6">
        <v>1.0</v>
      </c>
      <c r="K280" s="17">
        <v>720.63</v>
      </c>
      <c r="L280" s="2" t="s">
        <v>904</v>
      </c>
      <c r="M280" s="2" t="s">
        <v>905</v>
      </c>
      <c r="N280" s="2" t="s">
        <v>906</v>
      </c>
    </row>
    <row r="281" ht="15.75" customHeight="1">
      <c r="A281" s="18">
        <v>45605.0</v>
      </c>
      <c r="B281" s="16" t="str">
        <f t="shared" si="1"/>
        <v>November</v>
      </c>
      <c r="C281" s="2" t="s">
        <v>87</v>
      </c>
      <c r="D281" s="2" t="str">
        <f t="shared" si="2"/>
        <v>Tulum</v>
      </c>
      <c r="E281" s="2" t="s">
        <v>386</v>
      </c>
      <c r="F281" s="2" t="str">
        <f>IFERROR(__xludf.DUMMYFUNCTION("SPLIT(E281, ""-"")"),"Auriculares")</f>
        <v>Auriculares</v>
      </c>
      <c r="G281" s="2" t="str">
        <f>IFERROR(__xludf.DUMMYFUNCTION("""COMPUTED_VALUE"""),"Cancelación de ruido")</f>
        <v>Cancelación de ruido</v>
      </c>
      <c r="H281" s="2" t="str">
        <f>IFERROR(__xludf.DUMMYFUNCTION("""COMPUTED_VALUE"""),"4GB")</f>
        <v>4GB</v>
      </c>
      <c r="I281" s="17">
        <v>1111.98</v>
      </c>
      <c r="J281" s="6">
        <v>4.0</v>
      </c>
      <c r="K281" s="17">
        <v>4447.92</v>
      </c>
      <c r="L281" s="2" t="s">
        <v>907</v>
      </c>
      <c r="M281" s="2" t="s">
        <v>908</v>
      </c>
      <c r="N281" s="2" t="s">
        <v>909</v>
      </c>
    </row>
    <row r="282" ht="15.75" customHeight="1">
      <c r="A282" s="18">
        <v>45606.0</v>
      </c>
      <c r="B282" s="16" t="str">
        <f t="shared" si="1"/>
        <v>November</v>
      </c>
      <c r="C282" s="2" t="s">
        <v>34</v>
      </c>
      <c r="D282" s="2" t="str">
        <f t="shared" si="2"/>
        <v>Medellín</v>
      </c>
      <c r="E282" s="2" t="s">
        <v>312</v>
      </c>
      <c r="F282" s="2" t="str">
        <f>IFERROR(__xludf.DUMMYFUNCTION("SPLIT(E282, ""-"")"),"Teléfono")</f>
        <v>Teléfono</v>
      </c>
      <c r="G282" s="2" t="str">
        <f>IFERROR(__xludf.DUMMYFUNCTION("""COMPUTED_VALUE"""),"Gama baja")</f>
        <v>Gama baja</v>
      </c>
      <c r="H282" s="2" t="str">
        <f>IFERROR(__xludf.DUMMYFUNCTION("""COMPUTED_VALUE"""),"8GB")</f>
        <v>8GB</v>
      </c>
      <c r="I282" s="17">
        <v>763.62</v>
      </c>
      <c r="J282" s="6">
        <v>1.0</v>
      </c>
      <c r="K282" s="17">
        <v>763.62</v>
      </c>
      <c r="L282" s="2" t="s">
        <v>910</v>
      </c>
      <c r="M282" s="2" t="s">
        <v>911</v>
      </c>
      <c r="N282" s="2" t="s">
        <v>912</v>
      </c>
    </row>
    <row r="283" ht="15.75" customHeight="1">
      <c r="A283" s="18">
        <v>45606.0</v>
      </c>
      <c r="B283" s="16" t="str">
        <f t="shared" si="1"/>
        <v>November</v>
      </c>
      <c r="C283" s="3" t="s">
        <v>29</v>
      </c>
      <c r="D283" s="2" t="str">
        <f t="shared" si="2"/>
        <v>Ciudad De Mexico</v>
      </c>
      <c r="E283" s="2" t="s">
        <v>386</v>
      </c>
      <c r="F283" s="2" t="str">
        <f>IFERROR(__xludf.DUMMYFUNCTION("SPLIT(E283, ""-"")"),"Auriculares")</f>
        <v>Auriculares</v>
      </c>
      <c r="G283" s="2" t="str">
        <f>IFERROR(__xludf.DUMMYFUNCTION("""COMPUTED_VALUE"""),"Cancelación de ruido")</f>
        <v>Cancelación de ruido</v>
      </c>
      <c r="H283" s="2" t="str">
        <f>IFERROR(__xludf.DUMMYFUNCTION("""COMPUTED_VALUE"""),"4GB")</f>
        <v>4GB</v>
      </c>
      <c r="I283" s="17">
        <v>489.42</v>
      </c>
      <c r="J283" s="6">
        <v>3.0</v>
      </c>
      <c r="K283" s="17">
        <v>1468.26</v>
      </c>
      <c r="L283" s="2" t="s">
        <v>913</v>
      </c>
      <c r="M283" s="2" t="s">
        <v>914</v>
      </c>
      <c r="N283" s="8" t="s">
        <v>915</v>
      </c>
    </row>
    <row r="284" ht="15.75" customHeight="1">
      <c r="A284" s="18">
        <v>45606.0</v>
      </c>
      <c r="B284" s="16" t="str">
        <f t="shared" si="1"/>
        <v>November</v>
      </c>
      <c r="C284" s="2" t="s">
        <v>57</v>
      </c>
      <c r="D284" s="2" t="str">
        <f t="shared" si="2"/>
        <v>Guadalajara</v>
      </c>
      <c r="E284" s="2" t="s">
        <v>370</v>
      </c>
      <c r="F284" s="2" t="str">
        <f>IFERROR(__xludf.DUMMYFUNCTION("SPLIT(E284, ""-"")"),"Teléfono")</f>
        <v>Teléfono</v>
      </c>
      <c r="G284" s="2" t="str">
        <f>IFERROR(__xludf.DUMMYFUNCTION("""COMPUTED_VALUE"""),"Gama media")</f>
        <v>Gama media</v>
      </c>
      <c r="H284" s="2" t="str">
        <f>IFERROR(__xludf.DUMMYFUNCTION("""COMPUTED_VALUE"""),"16GB")</f>
        <v>16GB</v>
      </c>
      <c r="I284" s="17">
        <v>2356.5</v>
      </c>
      <c r="J284" s="6">
        <v>5.0</v>
      </c>
      <c r="K284" s="17">
        <v>11782.5</v>
      </c>
      <c r="L284" s="2" t="s">
        <v>916</v>
      </c>
      <c r="M284" s="2" t="s">
        <v>917</v>
      </c>
      <c r="N284" s="2" t="s">
        <v>918</v>
      </c>
    </row>
    <row r="285" ht="15.75" customHeight="1">
      <c r="A285" s="18">
        <v>45606.0</v>
      </c>
      <c r="B285" s="16" t="str">
        <f t="shared" si="1"/>
        <v>November</v>
      </c>
      <c r="C285" s="2" t="s">
        <v>9</v>
      </c>
      <c r="D285" s="2" t="str">
        <f t="shared" si="2"/>
        <v>Monterrey</v>
      </c>
      <c r="E285" s="2" t="s">
        <v>130</v>
      </c>
      <c r="F285" s="2" t="str">
        <f>IFERROR(__xludf.DUMMYFUNCTION("SPLIT(E285, ""-"")"),"Tablet")</f>
        <v>Tablet</v>
      </c>
      <c r="G285" s="2" t="str">
        <f>IFERROR(__xludf.DUMMYFUNCTION("""COMPUTED_VALUE"""),"Pro")</f>
        <v>Pro</v>
      </c>
      <c r="H285" s="2" t="str">
        <f>IFERROR(__xludf.DUMMYFUNCTION("""COMPUTED_VALUE"""),"8GB")</f>
        <v>8GB</v>
      </c>
      <c r="I285" s="17">
        <v>56.71</v>
      </c>
      <c r="J285" s="6">
        <v>1.0</v>
      </c>
      <c r="K285" s="17">
        <v>56.71</v>
      </c>
      <c r="L285" s="2" t="s">
        <v>919</v>
      </c>
      <c r="M285" s="2" t="s">
        <v>920</v>
      </c>
      <c r="N285" s="2" t="s">
        <v>921</v>
      </c>
    </row>
    <row r="286" ht="15.75" customHeight="1">
      <c r="A286" s="18">
        <v>45606.0</v>
      </c>
      <c r="B286" s="16" t="str">
        <f t="shared" si="1"/>
        <v>November</v>
      </c>
      <c r="C286" s="2" t="s">
        <v>14</v>
      </c>
      <c r="D286" s="2" t="str">
        <f t="shared" si="2"/>
        <v>Bogotá</v>
      </c>
      <c r="E286" s="2" t="s">
        <v>10</v>
      </c>
      <c r="F286" s="2" t="str">
        <f>IFERROR(__xludf.DUMMYFUNCTION("SPLIT(E286, ""-"")"),"Tablet")</f>
        <v>Tablet</v>
      </c>
      <c r="G286" s="2" t="str">
        <f>IFERROR(__xludf.DUMMYFUNCTION("""COMPUTED_VALUE"""),"Estándar")</f>
        <v>Estándar</v>
      </c>
      <c r="H286" s="2" t="str">
        <f>IFERROR(__xludf.DUMMYFUNCTION("""COMPUTED_VALUE"""),"8GB")</f>
        <v>8GB</v>
      </c>
      <c r="I286" s="17">
        <v>853.52</v>
      </c>
      <c r="J286" s="6">
        <v>5.0</v>
      </c>
      <c r="K286" s="17">
        <v>4267.6</v>
      </c>
      <c r="L286" s="2" t="s">
        <v>922</v>
      </c>
      <c r="M286" s="2" t="s">
        <v>923</v>
      </c>
      <c r="N286" s="2" t="s">
        <v>924</v>
      </c>
    </row>
    <row r="287" ht="15.75" customHeight="1">
      <c r="A287" s="18">
        <v>45606.0</v>
      </c>
      <c r="B287" s="16" t="str">
        <f t="shared" si="1"/>
        <v>November</v>
      </c>
      <c r="C287" s="2" t="s">
        <v>9</v>
      </c>
      <c r="D287" s="2" t="str">
        <f t="shared" si="2"/>
        <v>Monterrey</v>
      </c>
      <c r="E287" s="2" t="s">
        <v>308</v>
      </c>
      <c r="F287" s="2" t="str">
        <f>IFERROR(__xludf.DUMMYFUNCTION("SPLIT(E287, ""-"")"),"Laptop")</f>
        <v>Laptop</v>
      </c>
      <c r="G287" s="2" t="str">
        <f>IFERROR(__xludf.DUMMYFUNCTION("""COMPUTED_VALUE"""),"Ultraliviana")</f>
        <v>Ultraliviana</v>
      </c>
      <c r="H287" s="2" t="str">
        <f>IFERROR(__xludf.DUMMYFUNCTION("""COMPUTED_VALUE"""),"32GB")</f>
        <v>32GB</v>
      </c>
      <c r="I287" s="17">
        <v>1668.3</v>
      </c>
      <c r="J287" s="6">
        <v>2.0</v>
      </c>
      <c r="K287" s="17">
        <v>3336.6</v>
      </c>
      <c r="L287" s="2" t="s">
        <v>925</v>
      </c>
      <c r="M287" s="2" t="s">
        <v>926</v>
      </c>
      <c r="N287" s="2" t="s">
        <v>927</v>
      </c>
    </row>
    <row r="288" ht="15.75" customHeight="1">
      <c r="A288" s="22">
        <v>45606.0</v>
      </c>
      <c r="B288" s="16" t="str">
        <f t="shared" si="1"/>
        <v>November</v>
      </c>
      <c r="C288" s="2" t="s">
        <v>9</v>
      </c>
      <c r="D288" s="2" t="str">
        <f t="shared" si="2"/>
        <v>Monterrey</v>
      </c>
      <c r="E288" s="2" t="s">
        <v>15</v>
      </c>
      <c r="F288" s="2" t="str">
        <f>IFERROR(__xludf.DUMMYFUNCTION("SPLIT(E288, ""-"")"),"Auriculares")</f>
        <v>Auriculares</v>
      </c>
      <c r="G288" s="2" t="str">
        <f>IFERROR(__xludf.DUMMYFUNCTION("""COMPUTED_VALUE"""),"Con cable")</f>
        <v>Con cable</v>
      </c>
      <c r="H288" s="2" t="str">
        <f>IFERROR(__xludf.DUMMYFUNCTION("""COMPUTED_VALUE"""),"32GB")</f>
        <v>32GB</v>
      </c>
      <c r="I288" s="17">
        <v>1585.75</v>
      </c>
      <c r="J288" s="6">
        <v>5.0</v>
      </c>
      <c r="K288" s="17">
        <v>7928.75</v>
      </c>
      <c r="L288" s="2" t="s">
        <v>928</v>
      </c>
      <c r="M288" s="2" t="s">
        <v>929</v>
      </c>
      <c r="N288" s="2" t="s">
        <v>930</v>
      </c>
    </row>
    <row r="289" ht="15.75" customHeight="1">
      <c r="A289" s="18">
        <v>45606.0</v>
      </c>
      <c r="B289" s="16" t="str">
        <f t="shared" si="1"/>
        <v>November</v>
      </c>
      <c r="C289" s="2" t="s">
        <v>9</v>
      </c>
      <c r="D289" s="2" t="str">
        <f t="shared" si="2"/>
        <v>Monterrey</v>
      </c>
      <c r="E289" s="2" t="s">
        <v>396</v>
      </c>
      <c r="F289" s="2" t="str">
        <f>IFERROR(__xludf.DUMMYFUNCTION("SPLIT(E289, ""-"")"),"Laptop")</f>
        <v>Laptop</v>
      </c>
      <c r="G289" s="2" t="str">
        <f>IFERROR(__xludf.DUMMYFUNCTION("""COMPUTED_VALUE"""),"Gaming")</f>
        <v>Gaming</v>
      </c>
      <c r="H289" s="2" t="str">
        <f>IFERROR(__xludf.DUMMYFUNCTION("""COMPUTED_VALUE"""),"4GB")</f>
        <v>4GB</v>
      </c>
      <c r="I289" s="17">
        <v>229.33</v>
      </c>
      <c r="J289" s="6">
        <v>4.0</v>
      </c>
      <c r="K289" s="17">
        <v>917.32</v>
      </c>
      <c r="L289" s="2" t="s">
        <v>931</v>
      </c>
      <c r="M289" s="2" t="s">
        <v>932</v>
      </c>
      <c r="N289" s="2" t="s">
        <v>933</v>
      </c>
    </row>
    <row r="290" ht="15.75" customHeight="1">
      <c r="A290" s="18">
        <v>45606.0</v>
      </c>
      <c r="B290" s="16" t="str">
        <f t="shared" si="1"/>
        <v>November</v>
      </c>
      <c r="C290" s="2" t="s">
        <v>14</v>
      </c>
      <c r="D290" s="2" t="str">
        <f t="shared" si="2"/>
        <v>Bogotá</v>
      </c>
      <c r="E290" s="2" t="s">
        <v>70</v>
      </c>
      <c r="F290" s="2" t="str">
        <f>IFERROR(__xludf.DUMMYFUNCTION("SPLIT(E290, ""-"")"),"Auriculares")</f>
        <v>Auriculares</v>
      </c>
      <c r="G290" s="2" t="str">
        <f>IFERROR(__xludf.DUMMYFUNCTION("""COMPUTED_VALUE"""),"Bluetooth")</f>
        <v>Bluetooth</v>
      </c>
      <c r="H290" s="2" t="str">
        <f>IFERROR(__xludf.DUMMYFUNCTION("""COMPUTED_VALUE"""),"16GB")</f>
        <v>16GB</v>
      </c>
      <c r="I290" s="17">
        <v>596.93</v>
      </c>
      <c r="J290" s="6">
        <v>5.0</v>
      </c>
      <c r="K290" s="17">
        <v>2984.65</v>
      </c>
      <c r="L290" s="2" t="s">
        <v>934</v>
      </c>
      <c r="M290" s="2" t="s">
        <v>935</v>
      </c>
      <c r="N290" s="2" t="s">
        <v>936</v>
      </c>
    </row>
    <row r="291" ht="15.75" customHeight="1">
      <c r="A291" s="18">
        <v>45606.0</v>
      </c>
      <c r="B291" s="16" t="str">
        <f t="shared" si="1"/>
        <v>November</v>
      </c>
      <c r="C291" s="3" t="s">
        <v>29</v>
      </c>
      <c r="D291" s="2" t="str">
        <f t="shared" si="2"/>
        <v>Ciudad De Mexico</v>
      </c>
      <c r="E291" s="2" t="s">
        <v>427</v>
      </c>
      <c r="F291" s="2" t="str">
        <f>IFERROR(__xludf.DUMMYFUNCTION("SPLIT(E291, ""-"")"),"Teléfono")</f>
        <v>Teléfono</v>
      </c>
      <c r="G291" s="2" t="str">
        <f>IFERROR(__xludf.DUMMYFUNCTION("""COMPUTED_VALUE"""),"Gama alta")</f>
        <v>Gama alta</v>
      </c>
      <c r="H291" s="2" t="str">
        <f>IFERROR(__xludf.DUMMYFUNCTION("""COMPUTED_VALUE"""),"4GB")</f>
        <v>4GB</v>
      </c>
      <c r="I291" s="17">
        <v>1650.53</v>
      </c>
      <c r="J291" s="6">
        <v>1.0</v>
      </c>
      <c r="K291" s="17">
        <v>1650.53</v>
      </c>
      <c r="L291" s="2" t="s">
        <v>937</v>
      </c>
      <c r="M291" s="2" t="s">
        <v>938</v>
      </c>
      <c r="N291" s="2" t="s">
        <v>939</v>
      </c>
    </row>
    <row r="292" ht="15.75" customHeight="1">
      <c r="A292" s="18">
        <v>45606.0</v>
      </c>
      <c r="B292" s="16" t="str">
        <f t="shared" si="1"/>
        <v>November</v>
      </c>
      <c r="C292" s="2" t="s">
        <v>74</v>
      </c>
      <c r="D292" s="2" t="str">
        <f t="shared" si="2"/>
        <v>Cali</v>
      </c>
      <c r="E292" s="2" t="s">
        <v>115</v>
      </c>
      <c r="F292" s="2" t="str">
        <f>IFERROR(__xludf.DUMMYFUNCTION("SPLIT(E292, ""-"")"),"Teléfono")</f>
        <v>Teléfono</v>
      </c>
      <c r="G292" s="2" t="str">
        <f>IFERROR(__xludf.DUMMYFUNCTION("""COMPUTED_VALUE"""),"Gama baja")</f>
        <v>Gama baja</v>
      </c>
      <c r="H292" s="2" t="str">
        <f>IFERROR(__xludf.DUMMYFUNCTION("""COMPUTED_VALUE"""),"16GB")</f>
        <v>16GB</v>
      </c>
      <c r="I292" s="17">
        <v>2114.99</v>
      </c>
      <c r="J292" s="6">
        <v>1.0</v>
      </c>
      <c r="K292" s="17">
        <v>2114.99</v>
      </c>
      <c r="L292" s="2" t="s">
        <v>940</v>
      </c>
      <c r="M292" s="2" t="s">
        <v>941</v>
      </c>
      <c r="N292" s="2" t="s">
        <v>942</v>
      </c>
    </row>
    <row r="293" ht="15.75" customHeight="1">
      <c r="A293" s="18">
        <v>45606.0</v>
      </c>
      <c r="B293" s="16" t="str">
        <f t="shared" si="1"/>
        <v>November</v>
      </c>
      <c r="C293" s="3" t="s">
        <v>29</v>
      </c>
      <c r="D293" s="2" t="str">
        <f t="shared" si="2"/>
        <v>Ciudad De Mexico</v>
      </c>
      <c r="E293" s="2" t="s">
        <v>30</v>
      </c>
      <c r="F293" s="2" t="str">
        <f>IFERROR(__xludf.DUMMYFUNCTION("SPLIT(E293, ""-"")"),"Teléfono")</f>
        <v>Teléfono</v>
      </c>
      <c r="G293" s="2" t="str">
        <f>IFERROR(__xludf.DUMMYFUNCTION("""COMPUTED_VALUE"""),"Gama alta")</f>
        <v>Gama alta</v>
      </c>
      <c r="H293" s="2" t="str">
        <f>IFERROR(__xludf.DUMMYFUNCTION("""COMPUTED_VALUE"""),"32GB")</f>
        <v>32GB</v>
      </c>
      <c r="I293" s="17">
        <v>169.2</v>
      </c>
      <c r="J293" s="6">
        <v>3.0</v>
      </c>
      <c r="K293" s="17">
        <v>507.6</v>
      </c>
      <c r="L293" s="2" t="s">
        <v>943</v>
      </c>
      <c r="M293" s="2" t="s">
        <v>944</v>
      </c>
      <c r="N293" s="2" t="s">
        <v>945</v>
      </c>
    </row>
    <row r="294" ht="15.75" customHeight="1">
      <c r="A294" s="18">
        <v>45606.0</v>
      </c>
      <c r="B294" s="16" t="str">
        <f t="shared" si="1"/>
        <v>November</v>
      </c>
      <c r="C294" s="2" t="s">
        <v>74</v>
      </c>
      <c r="D294" s="2" t="str">
        <f t="shared" si="2"/>
        <v>Cali</v>
      </c>
      <c r="E294" s="2" t="s">
        <v>386</v>
      </c>
      <c r="F294" s="2" t="str">
        <f>IFERROR(__xludf.DUMMYFUNCTION("SPLIT(E294, ""-"")"),"Auriculares")</f>
        <v>Auriculares</v>
      </c>
      <c r="G294" s="2" t="str">
        <f>IFERROR(__xludf.DUMMYFUNCTION("""COMPUTED_VALUE"""),"Cancelación de ruido")</f>
        <v>Cancelación de ruido</v>
      </c>
      <c r="H294" s="2" t="str">
        <f>IFERROR(__xludf.DUMMYFUNCTION("""COMPUTED_VALUE"""),"4GB")</f>
        <v>4GB</v>
      </c>
      <c r="I294" s="17">
        <v>1614.84</v>
      </c>
      <c r="J294" s="6">
        <v>3.0</v>
      </c>
      <c r="K294" s="17">
        <v>4844.52</v>
      </c>
      <c r="L294" s="2" t="s">
        <v>946</v>
      </c>
      <c r="M294" s="2" t="s">
        <v>947</v>
      </c>
      <c r="N294" s="2" t="s">
        <v>948</v>
      </c>
    </row>
    <row r="295" ht="15.75" customHeight="1">
      <c r="A295" s="18">
        <v>45606.0</v>
      </c>
      <c r="B295" s="16" t="str">
        <f t="shared" si="1"/>
        <v>November</v>
      </c>
      <c r="C295" s="2" t="s">
        <v>74</v>
      </c>
      <c r="D295" s="2" t="str">
        <f t="shared" si="2"/>
        <v>Cali</v>
      </c>
      <c r="E295" s="2" t="s">
        <v>70</v>
      </c>
      <c r="F295" s="2" t="str">
        <f>IFERROR(__xludf.DUMMYFUNCTION("SPLIT(E295, ""-"")"),"Auriculares")</f>
        <v>Auriculares</v>
      </c>
      <c r="G295" s="2" t="str">
        <f>IFERROR(__xludf.DUMMYFUNCTION("""COMPUTED_VALUE"""),"Bluetooth")</f>
        <v>Bluetooth</v>
      </c>
      <c r="H295" s="2" t="str">
        <f>IFERROR(__xludf.DUMMYFUNCTION("""COMPUTED_VALUE"""),"16GB")</f>
        <v>16GB</v>
      </c>
      <c r="I295" s="17">
        <v>360.98</v>
      </c>
      <c r="J295" s="6">
        <v>3.0</v>
      </c>
      <c r="K295" s="17">
        <v>1082.94</v>
      </c>
      <c r="L295" s="2" t="s">
        <v>949</v>
      </c>
      <c r="M295" s="2" t="s">
        <v>950</v>
      </c>
      <c r="N295" s="2" t="s">
        <v>951</v>
      </c>
    </row>
    <row r="296" ht="15.75" customHeight="1">
      <c r="A296" s="18">
        <v>45606.0</v>
      </c>
      <c r="B296" s="16" t="str">
        <f t="shared" si="1"/>
        <v>November</v>
      </c>
      <c r="C296" s="2" t="s">
        <v>9</v>
      </c>
      <c r="D296" s="2" t="str">
        <f t="shared" si="2"/>
        <v>Monterrey</v>
      </c>
      <c r="E296" s="2" t="s">
        <v>10</v>
      </c>
      <c r="F296" s="2" t="str">
        <f>IFERROR(__xludf.DUMMYFUNCTION("SPLIT(E296, ""-"")"),"Tablet")</f>
        <v>Tablet</v>
      </c>
      <c r="G296" s="2" t="str">
        <f>IFERROR(__xludf.DUMMYFUNCTION("""COMPUTED_VALUE"""),"Estándar")</f>
        <v>Estándar</v>
      </c>
      <c r="H296" s="2" t="str">
        <f>IFERROR(__xludf.DUMMYFUNCTION("""COMPUTED_VALUE"""),"8GB")</f>
        <v>8GB</v>
      </c>
      <c r="I296" s="17">
        <v>1447.41</v>
      </c>
      <c r="J296" s="6">
        <v>4.0</v>
      </c>
      <c r="K296" s="17">
        <v>5789.64</v>
      </c>
      <c r="L296" s="2" t="s">
        <v>952</v>
      </c>
      <c r="M296" s="2" t="s">
        <v>953</v>
      </c>
      <c r="N296" s="2" t="s">
        <v>954</v>
      </c>
    </row>
    <row r="297" ht="15.75" customHeight="1">
      <c r="A297" s="18">
        <v>45606.0</v>
      </c>
      <c r="B297" s="16" t="str">
        <f t="shared" si="1"/>
        <v>November</v>
      </c>
      <c r="C297" s="2" t="s">
        <v>34</v>
      </c>
      <c r="D297" s="2" t="str">
        <f t="shared" si="2"/>
        <v>Medellín</v>
      </c>
      <c r="E297" s="2" t="s">
        <v>15</v>
      </c>
      <c r="F297" s="2" t="str">
        <f>IFERROR(__xludf.DUMMYFUNCTION("SPLIT(E297, ""-"")"),"Auriculares")</f>
        <v>Auriculares</v>
      </c>
      <c r="G297" s="2" t="str">
        <f>IFERROR(__xludf.DUMMYFUNCTION("""COMPUTED_VALUE"""),"Con cable")</f>
        <v>Con cable</v>
      </c>
      <c r="H297" s="2" t="str">
        <f>IFERROR(__xludf.DUMMYFUNCTION("""COMPUTED_VALUE"""),"32GB")</f>
        <v>32GB</v>
      </c>
      <c r="I297" s="17">
        <v>1746.28</v>
      </c>
      <c r="J297" s="6">
        <v>2.0</v>
      </c>
      <c r="K297" s="17">
        <v>3492.56</v>
      </c>
      <c r="L297" s="2" t="s">
        <v>955</v>
      </c>
      <c r="M297" s="2" t="s">
        <v>956</v>
      </c>
      <c r="N297" s="2" t="s">
        <v>957</v>
      </c>
    </row>
    <row r="298" ht="15.75" customHeight="1">
      <c r="A298" s="18">
        <v>45606.0</v>
      </c>
      <c r="B298" s="16" t="str">
        <f t="shared" si="1"/>
        <v>November</v>
      </c>
      <c r="C298" s="2" t="s">
        <v>87</v>
      </c>
      <c r="D298" s="2" t="str">
        <f t="shared" si="2"/>
        <v>Tulum</v>
      </c>
      <c r="E298" s="2" t="s">
        <v>83</v>
      </c>
      <c r="F298" s="2" t="str">
        <f>IFERROR(__xludf.DUMMYFUNCTION("SPLIT(E298, ""-"")"),"Teléfono")</f>
        <v>Teléfono</v>
      </c>
      <c r="G298" s="2" t="str">
        <f>IFERROR(__xludf.DUMMYFUNCTION("""COMPUTED_VALUE"""),"Gama media")</f>
        <v>Gama media</v>
      </c>
      <c r="H298" s="2" t="str">
        <f>IFERROR(__xludf.DUMMYFUNCTION("""COMPUTED_VALUE"""),"32GB")</f>
        <v>32GB</v>
      </c>
      <c r="I298" s="17">
        <v>2390.84</v>
      </c>
      <c r="J298" s="6">
        <v>5.0</v>
      </c>
      <c r="K298" s="17">
        <v>11954.2</v>
      </c>
      <c r="L298" s="2" t="s">
        <v>958</v>
      </c>
      <c r="M298" s="2" t="s">
        <v>959</v>
      </c>
      <c r="N298" s="2" t="s">
        <v>960</v>
      </c>
    </row>
    <row r="299" ht="15.75" customHeight="1">
      <c r="A299" s="18">
        <v>45606.0</v>
      </c>
      <c r="B299" s="16" t="str">
        <f t="shared" si="1"/>
        <v>November</v>
      </c>
      <c r="C299" s="2" t="s">
        <v>34</v>
      </c>
      <c r="D299" s="2" t="str">
        <f t="shared" si="2"/>
        <v>Medellín</v>
      </c>
      <c r="E299" s="2" t="s">
        <v>215</v>
      </c>
      <c r="F299" s="2" t="str">
        <f>IFERROR(__xludf.DUMMYFUNCTION("SPLIT(E299, ""-"")"),"Teléfono")</f>
        <v>Teléfono</v>
      </c>
      <c r="G299" s="2" t="str">
        <f>IFERROR(__xludf.DUMMYFUNCTION("""COMPUTED_VALUE"""),"Gama media")</f>
        <v>Gama media</v>
      </c>
      <c r="H299" s="2" t="str">
        <f>IFERROR(__xludf.DUMMYFUNCTION("""COMPUTED_VALUE"""),"4GB")</f>
        <v>4GB</v>
      </c>
      <c r="I299" s="17">
        <v>1415.48</v>
      </c>
      <c r="J299" s="6">
        <v>1.0</v>
      </c>
      <c r="K299" s="17">
        <v>1415.48</v>
      </c>
      <c r="L299" s="2" t="s">
        <v>961</v>
      </c>
      <c r="M299" s="2" t="s">
        <v>962</v>
      </c>
      <c r="N299" s="2" t="s">
        <v>963</v>
      </c>
    </row>
    <row r="300" ht="15.75" customHeight="1">
      <c r="A300" s="18">
        <v>45606.0</v>
      </c>
      <c r="B300" s="16" t="str">
        <f t="shared" si="1"/>
        <v>November</v>
      </c>
      <c r="C300" s="2" t="s">
        <v>9</v>
      </c>
      <c r="D300" s="2" t="str">
        <f t="shared" si="2"/>
        <v>Monterrey</v>
      </c>
      <c r="E300" s="2" t="s">
        <v>279</v>
      </c>
      <c r="F300" s="2" t="str">
        <f>IFERROR(__xludf.DUMMYFUNCTION("SPLIT(E300, ""-"")"),"Tablet")</f>
        <v>Tablet</v>
      </c>
      <c r="G300" s="2" t="str">
        <f>IFERROR(__xludf.DUMMYFUNCTION("""COMPUTED_VALUE"""),"Pro")</f>
        <v>Pro</v>
      </c>
      <c r="H300" s="2" t="str">
        <f>IFERROR(__xludf.DUMMYFUNCTION("""COMPUTED_VALUE"""),"16GB")</f>
        <v>16GB</v>
      </c>
      <c r="I300" s="17">
        <v>1384.09</v>
      </c>
      <c r="J300" s="6">
        <v>2.0</v>
      </c>
      <c r="K300" s="17">
        <v>2768.18</v>
      </c>
      <c r="L300" s="2" t="s">
        <v>964</v>
      </c>
      <c r="M300" s="2" t="s">
        <v>965</v>
      </c>
      <c r="N300" s="2" t="s">
        <v>966</v>
      </c>
    </row>
    <row r="301" ht="15.75" customHeight="1">
      <c r="A301" s="18">
        <v>45607.0</v>
      </c>
      <c r="B301" s="16" t="str">
        <f t="shared" si="1"/>
        <v>November</v>
      </c>
      <c r="C301" s="2" t="s">
        <v>74</v>
      </c>
      <c r="D301" s="2" t="str">
        <f t="shared" si="2"/>
        <v>Cali</v>
      </c>
      <c r="E301" s="2" t="s">
        <v>187</v>
      </c>
      <c r="F301" s="2" t="str">
        <f>IFERROR(__xludf.DUMMYFUNCTION("SPLIT(E301, ""-"")"),"Laptop")</f>
        <v>Laptop</v>
      </c>
      <c r="G301" s="2" t="str">
        <f>IFERROR(__xludf.DUMMYFUNCTION("""COMPUTED_VALUE"""),"Ultraliviana")</f>
        <v>Ultraliviana</v>
      </c>
      <c r="H301" s="2" t="str">
        <f>IFERROR(__xludf.DUMMYFUNCTION("""COMPUTED_VALUE"""),"16GB")</f>
        <v>16GB</v>
      </c>
      <c r="I301" s="17">
        <v>1933.07</v>
      </c>
      <c r="J301" s="6">
        <v>3.0</v>
      </c>
      <c r="K301" s="17">
        <v>5799.21</v>
      </c>
      <c r="L301" s="2" t="s">
        <v>967</v>
      </c>
      <c r="M301" s="2" t="s">
        <v>968</v>
      </c>
      <c r="N301" s="2" t="s">
        <v>969</v>
      </c>
    </row>
    <row r="302" ht="15.75" customHeight="1">
      <c r="A302" s="18">
        <v>45607.0</v>
      </c>
      <c r="B302" s="16" t="str">
        <f t="shared" si="1"/>
        <v>November</v>
      </c>
      <c r="C302" s="2" t="s">
        <v>14</v>
      </c>
      <c r="D302" s="2" t="str">
        <f t="shared" si="2"/>
        <v>Bogotá</v>
      </c>
      <c r="E302" s="2" t="s">
        <v>161</v>
      </c>
      <c r="F302" s="2" t="str">
        <f>IFERROR(__xludf.DUMMYFUNCTION("SPLIT(E302, ""-"")"),"Laptop")</f>
        <v>Laptop</v>
      </c>
      <c r="G302" s="2" t="str">
        <f>IFERROR(__xludf.DUMMYFUNCTION("""COMPUTED_VALUE"""),"Oficina")</f>
        <v>Oficina</v>
      </c>
      <c r="H302" s="2" t="str">
        <f>IFERROR(__xludf.DUMMYFUNCTION("""COMPUTED_VALUE"""),"32GB")</f>
        <v>32GB</v>
      </c>
      <c r="I302" s="17">
        <v>1492.73</v>
      </c>
      <c r="J302" s="6">
        <v>5.0</v>
      </c>
      <c r="K302" s="17">
        <v>7463.65</v>
      </c>
      <c r="L302" s="2" t="s">
        <v>970</v>
      </c>
      <c r="M302" s="2" t="s">
        <v>971</v>
      </c>
      <c r="N302" s="2" t="s">
        <v>972</v>
      </c>
    </row>
    <row r="303" ht="15.75" customHeight="1">
      <c r="A303" s="18">
        <v>45607.0</v>
      </c>
      <c r="B303" s="16" t="str">
        <f t="shared" si="1"/>
        <v>November</v>
      </c>
      <c r="C303" s="2" t="s">
        <v>114</v>
      </c>
      <c r="D303" s="2" t="str">
        <f t="shared" si="2"/>
        <v>Guadalajara</v>
      </c>
      <c r="E303" s="2" t="s">
        <v>22</v>
      </c>
      <c r="F303" s="2" t="str">
        <f>IFERROR(__xludf.DUMMYFUNCTION("SPLIT(E303, ""-"")"),"Tablet")</f>
        <v>Tablet</v>
      </c>
      <c r="G303" s="2" t="str">
        <f>IFERROR(__xludf.DUMMYFUNCTION("""COMPUTED_VALUE"""),"Estándar")</f>
        <v>Estándar</v>
      </c>
      <c r="H303" s="2" t="str">
        <f>IFERROR(__xludf.DUMMYFUNCTION("""COMPUTED_VALUE"""),"16GB")</f>
        <v>16GB</v>
      </c>
      <c r="I303" s="17">
        <v>1170.2</v>
      </c>
      <c r="J303" s="6">
        <v>1.0</v>
      </c>
      <c r="K303" s="17">
        <v>1170.2</v>
      </c>
      <c r="L303" s="2" t="s">
        <v>973</v>
      </c>
      <c r="M303" s="2" t="s">
        <v>974</v>
      </c>
      <c r="N303" s="2" t="s">
        <v>975</v>
      </c>
    </row>
    <row r="304" ht="15.75" customHeight="1">
      <c r="A304" s="18">
        <v>45607.0</v>
      </c>
      <c r="B304" s="16" t="str">
        <f t="shared" si="1"/>
        <v>November</v>
      </c>
      <c r="C304" s="3" t="s">
        <v>29</v>
      </c>
      <c r="D304" s="2" t="str">
        <f t="shared" si="2"/>
        <v>Ciudad De Mexico</v>
      </c>
      <c r="E304" s="2" t="s">
        <v>187</v>
      </c>
      <c r="F304" s="2" t="str">
        <f>IFERROR(__xludf.DUMMYFUNCTION("SPLIT(E304, ""-"")"),"Laptop")</f>
        <v>Laptop</v>
      </c>
      <c r="G304" s="2" t="str">
        <f>IFERROR(__xludf.DUMMYFUNCTION("""COMPUTED_VALUE"""),"Ultraliviana")</f>
        <v>Ultraliviana</v>
      </c>
      <c r="H304" s="2" t="str">
        <f>IFERROR(__xludf.DUMMYFUNCTION("""COMPUTED_VALUE"""),"16GB")</f>
        <v>16GB</v>
      </c>
      <c r="I304" s="17">
        <v>569.35</v>
      </c>
      <c r="J304" s="6">
        <v>4.0</v>
      </c>
      <c r="K304" s="17">
        <v>2277.4</v>
      </c>
      <c r="L304" s="2" t="s">
        <v>976</v>
      </c>
      <c r="M304" s="2" t="s">
        <v>977</v>
      </c>
      <c r="N304" s="2" t="s">
        <v>978</v>
      </c>
    </row>
    <row r="305" ht="15.75" customHeight="1">
      <c r="A305" s="18">
        <v>45607.0</v>
      </c>
      <c r="B305" s="16" t="str">
        <f t="shared" si="1"/>
        <v>November</v>
      </c>
      <c r="C305" s="2" t="s">
        <v>9</v>
      </c>
      <c r="D305" s="2" t="str">
        <f t="shared" si="2"/>
        <v>Monterrey</v>
      </c>
      <c r="E305" s="2" t="s">
        <v>66</v>
      </c>
      <c r="F305" s="2" t="str">
        <f>IFERROR(__xludf.DUMMYFUNCTION("SPLIT(E305, ""-"")"),"Tablet")</f>
        <v>Tablet</v>
      </c>
      <c r="G305" s="2" t="str">
        <f>IFERROR(__xludf.DUMMYFUNCTION("""COMPUTED_VALUE"""),"Estándar")</f>
        <v>Estándar</v>
      </c>
      <c r="H305" s="2" t="str">
        <f>IFERROR(__xludf.DUMMYFUNCTION("""COMPUTED_VALUE"""),"4GB")</f>
        <v>4GB</v>
      </c>
      <c r="I305" s="17">
        <v>664.19</v>
      </c>
      <c r="J305" s="6">
        <v>4.0</v>
      </c>
      <c r="K305" s="17">
        <v>2656.76</v>
      </c>
      <c r="L305" s="2" t="s">
        <v>979</v>
      </c>
      <c r="M305" s="2" t="s">
        <v>980</v>
      </c>
      <c r="N305" s="2" t="s">
        <v>981</v>
      </c>
    </row>
    <row r="306" ht="15.75" customHeight="1">
      <c r="A306" s="18">
        <v>45607.0</v>
      </c>
      <c r="B306" s="16" t="str">
        <f t="shared" si="1"/>
        <v>November</v>
      </c>
      <c r="C306" s="2" t="s">
        <v>14</v>
      </c>
      <c r="D306" s="2" t="str">
        <f t="shared" si="2"/>
        <v>Bogotá</v>
      </c>
      <c r="E306" s="2" t="s">
        <v>53</v>
      </c>
      <c r="F306" s="2" t="str">
        <f>IFERROR(__xludf.DUMMYFUNCTION("SPLIT(E306, ""-"")"),"Laptop")</f>
        <v>Laptop</v>
      </c>
      <c r="G306" s="2" t="str">
        <f>IFERROR(__xludf.DUMMYFUNCTION("""COMPUTED_VALUE"""),"Oficina")</f>
        <v>Oficina</v>
      </c>
      <c r="H306" s="2" t="str">
        <f>IFERROR(__xludf.DUMMYFUNCTION("""COMPUTED_VALUE"""),"8GB")</f>
        <v>8GB</v>
      </c>
      <c r="I306" s="17">
        <v>214.86</v>
      </c>
      <c r="J306" s="6">
        <v>5.0</v>
      </c>
      <c r="K306" s="17">
        <v>1074.3</v>
      </c>
      <c r="L306" s="2" t="s">
        <v>982</v>
      </c>
      <c r="M306" s="2" t="s">
        <v>983</v>
      </c>
      <c r="N306" s="2" t="s">
        <v>984</v>
      </c>
    </row>
    <row r="307" ht="15.75" customHeight="1">
      <c r="A307" s="18">
        <v>45607.0</v>
      </c>
      <c r="B307" s="16" t="str">
        <f t="shared" si="1"/>
        <v>November</v>
      </c>
      <c r="C307" s="2" t="s">
        <v>34</v>
      </c>
      <c r="D307" s="2" t="str">
        <f t="shared" si="2"/>
        <v>Medellín</v>
      </c>
      <c r="E307" s="2" t="s">
        <v>230</v>
      </c>
      <c r="F307" s="2" t="str">
        <f>IFERROR(__xludf.DUMMYFUNCTION("SPLIT(E307, ""-"")"),"Tablet")</f>
        <v>Tablet</v>
      </c>
      <c r="G307" s="2" t="str">
        <f>IFERROR(__xludf.DUMMYFUNCTION("""COMPUTED_VALUE"""),"Mini")</f>
        <v>Mini</v>
      </c>
      <c r="H307" s="2" t="str">
        <f>IFERROR(__xludf.DUMMYFUNCTION("""COMPUTED_VALUE"""),"16GB")</f>
        <v>16GB</v>
      </c>
      <c r="I307" s="17">
        <v>499.69</v>
      </c>
      <c r="J307" s="6">
        <v>1.0</v>
      </c>
      <c r="K307" s="17">
        <v>499.69</v>
      </c>
      <c r="L307" s="2" t="s">
        <v>985</v>
      </c>
      <c r="M307" s="2" t="s">
        <v>986</v>
      </c>
      <c r="N307" s="2" t="s">
        <v>987</v>
      </c>
    </row>
    <row r="308" ht="15.75" customHeight="1">
      <c r="A308" s="18">
        <v>45607.0</v>
      </c>
      <c r="B308" s="16" t="str">
        <f t="shared" si="1"/>
        <v>November</v>
      </c>
      <c r="C308" s="2" t="s">
        <v>9</v>
      </c>
      <c r="D308" s="2" t="str">
        <f t="shared" si="2"/>
        <v>Monterrey</v>
      </c>
      <c r="E308" s="2" t="s">
        <v>179</v>
      </c>
      <c r="F308" s="2" t="str">
        <f>IFERROR(__xludf.DUMMYFUNCTION("SPLIT(E308, ""-"")"),"Tablet")</f>
        <v>Tablet</v>
      </c>
      <c r="G308" s="2" t="str">
        <f>IFERROR(__xludf.DUMMYFUNCTION("""COMPUTED_VALUE"""),"Mini")</f>
        <v>Mini</v>
      </c>
      <c r="H308" s="2" t="str">
        <f>IFERROR(__xludf.DUMMYFUNCTION("""COMPUTED_VALUE"""),"4GB")</f>
        <v>4GB</v>
      </c>
      <c r="I308" s="17">
        <v>2442.23</v>
      </c>
      <c r="J308" s="6">
        <v>4.0</v>
      </c>
      <c r="K308" s="17">
        <v>9768.92</v>
      </c>
      <c r="L308" s="2" t="s">
        <v>988</v>
      </c>
      <c r="M308" s="2" t="s">
        <v>989</v>
      </c>
      <c r="N308" s="2" t="s">
        <v>990</v>
      </c>
    </row>
    <row r="309" ht="15.75" customHeight="1">
      <c r="A309" s="18">
        <v>45607.0</v>
      </c>
      <c r="B309" s="16" t="str">
        <f t="shared" si="1"/>
        <v>November</v>
      </c>
      <c r="C309" s="2" t="s">
        <v>14</v>
      </c>
      <c r="D309" s="2" t="str">
        <f t="shared" si="2"/>
        <v>Bogotá</v>
      </c>
      <c r="E309" s="2" t="s">
        <v>137</v>
      </c>
      <c r="F309" s="2" t="str">
        <f>IFERROR(__xludf.DUMMYFUNCTION("SPLIT(E309, ""-"")"),"Auriculares")</f>
        <v>Auriculares</v>
      </c>
      <c r="G309" s="2" t="str">
        <f>IFERROR(__xludf.DUMMYFUNCTION("""COMPUTED_VALUE"""),"Con cable")</f>
        <v>Con cable</v>
      </c>
      <c r="H309" s="2" t="str">
        <f>IFERROR(__xludf.DUMMYFUNCTION("""COMPUTED_VALUE"""),"16GB")</f>
        <v>16GB</v>
      </c>
      <c r="I309" s="17">
        <v>2498.64</v>
      </c>
      <c r="J309" s="6">
        <v>2.0</v>
      </c>
      <c r="K309" s="17">
        <v>4997.28</v>
      </c>
      <c r="L309" s="2" t="s">
        <v>991</v>
      </c>
      <c r="M309" s="2" t="s">
        <v>992</v>
      </c>
      <c r="N309" s="2" t="s">
        <v>993</v>
      </c>
    </row>
    <row r="310" ht="15.75" customHeight="1">
      <c r="A310" s="18">
        <v>45608.0</v>
      </c>
      <c r="B310" s="16" t="str">
        <f t="shared" si="1"/>
        <v>November</v>
      </c>
      <c r="C310" s="2" t="s">
        <v>14</v>
      </c>
      <c r="D310" s="2" t="str">
        <f t="shared" si="2"/>
        <v>Bogotá</v>
      </c>
      <c r="E310" s="2" t="s">
        <v>161</v>
      </c>
      <c r="F310" s="2" t="str">
        <f>IFERROR(__xludf.DUMMYFUNCTION("SPLIT(E310, ""-"")"),"Laptop")</f>
        <v>Laptop</v>
      </c>
      <c r="G310" s="2" t="str">
        <f>IFERROR(__xludf.DUMMYFUNCTION("""COMPUTED_VALUE"""),"Oficina")</f>
        <v>Oficina</v>
      </c>
      <c r="H310" s="2" t="str">
        <f>IFERROR(__xludf.DUMMYFUNCTION("""COMPUTED_VALUE"""),"32GB")</f>
        <v>32GB</v>
      </c>
      <c r="I310" s="17">
        <v>2333.72</v>
      </c>
      <c r="J310" s="6">
        <v>2.0</v>
      </c>
      <c r="K310" s="17">
        <v>4667.44</v>
      </c>
      <c r="L310" s="2" t="s">
        <v>994</v>
      </c>
      <c r="M310" s="2" t="s">
        <v>995</v>
      </c>
      <c r="N310" s="2" t="s">
        <v>996</v>
      </c>
    </row>
    <row r="311" ht="15.75" customHeight="1">
      <c r="A311" s="18">
        <v>45608.0</v>
      </c>
      <c r="B311" s="16" t="str">
        <f t="shared" si="1"/>
        <v>November</v>
      </c>
      <c r="C311" s="2" t="s">
        <v>34</v>
      </c>
      <c r="D311" s="2" t="str">
        <f t="shared" si="2"/>
        <v>Medellín</v>
      </c>
      <c r="E311" s="2" t="s">
        <v>15</v>
      </c>
      <c r="F311" s="2" t="str">
        <f>IFERROR(__xludf.DUMMYFUNCTION("SPLIT(E311, ""-"")"),"Auriculares")</f>
        <v>Auriculares</v>
      </c>
      <c r="G311" s="2" t="str">
        <f>IFERROR(__xludf.DUMMYFUNCTION("""COMPUTED_VALUE"""),"Con cable")</f>
        <v>Con cable</v>
      </c>
      <c r="H311" s="2" t="str">
        <f>IFERROR(__xludf.DUMMYFUNCTION("""COMPUTED_VALUE"""),"32GB")</f>
        <v>32GB</v>
      </c>
      <c r="I311" s="17">
        <v>100.98</v>
      </c>
      <c r="J311" s="6">
        <v>3.0</v>
      </c>
      <c r="K311" s="17">
        <v>302.94</v>
      </c>
      <c r="L311" s="2" t="s">
        <v>997</v>
      </c>
      <c r="M311" s="2" t="s">
        <v>998</v>
      </c>
      <c r="N311" s="2" t="s">
        <v>999</v>
      </c>
    </row>
    <row r="312" ht="15.75" customHeight="1">
      <c r="A312" s="18">
        <v>45608.0</v>
      </c>
      <c r="B312" s="16" t="str">
        <f t="shared" si="1"/>
        <v>November</v>
      </c>
      <c r="C312" s="2" t="s">
        <v>57</v>
      </c>
      <c r="D312" s="2" t="str">
        <f t="shared" si="2"/>
        <v>Guadalajara</v>
      </c>
      <c r="E312" s="2" t="s">
        <v>66</v>
      </c>
      <c r="F312" s="2" t="str">
        <f>IFERROR(__xludf.DUMMYFUNCTION("SPLIT(E312, ""-"")"),"Tablet")</f>
        <v>Tablet</v>
      </c>
      <c r="G312" s="2" t="str">
        <f>IFERROR(__xludf.DUMMYFUNCTION("""COMPUTED_VALUE"""),"Estándar")</f>
        <v>Estándar</v>
      </c>
      <c r="H312" s="2" t="str">
        <f>IFERROR(__xludf.DUMMYFUNCTION("""COMPUTED_VALUE"""),"4GB")</f>
        <v>4GB</v>
      </c>
      <c r="I312" s="17">
        <v>2437.77</v>
      </c>
      <c r="J312" s="6">
        <v>2.0</v>
      </c>
      <c r="K312" s="17">
        <v>4875.54</v>
      </c>
      <c r="L312" s="2" t="s">
        <v>1000</v>
      </c>
      <c r="M312" s="2" t="s">
        <v>1001</v>
      </c>
      <c r="N312" s="2" t="s">
        <v>1002</v>
      </c>
    </row>
    <row r="313" ht="15.75" customHeight="1">
      <c r="A313" s="18">
        <v>45608.0</v>
      </c>
      <c r="B313" s="16" t="str">
        <f t="shared" si="1"/>
        <v>November</v>
      </c>
      <c r="C313" s="2" t="s">
        <v>74</v>
      </c>
      <c r="D313" s="2" t="str">
        <f t="shared" si="2"/>
        <v>Cali</v>
      </c>
      <c r="E313" s="2" t="s">
        <v>83</v>
      </c>
      <c r="F313" s="2" t="str">
        <f>IFERROR(__xludf.DUMMYFUNCTION("SPLIT(E313, ""-"")"),"Teléfono")</f>
        <v>Teléfono</v>
      </c>
      <c r="G313" s="2" t="str">
        <f>IFERROR(__xludf.DUMMYFUNCTION("""COMPUTED_VALUE"""),"Gama media")</f>
        <v>Gama media</v>
      </c>
      <c r="H313" s="2" t="str">
        <f>IFERROR(__xludf.DUMMYFUNCTION("""COMPUTED_VALUE"""),"32GB")</f>
        <v>32GB</v>
      </c>
      <c r="I313" s="17">
        <v>1281.78</v>
      </c>
      <c r="J313" s="6">
        <v>3.0</v>
      </c>
      <c r="K313" s="17">
        <v>3845.34</v>
      </c>
      <c r="L313" s="2" t="s">
        <v>1003</v>
      </c>
      <c r="M313" s="2" t="s">
        <v>1004</v>
      </c>
      <c r="N313" s="2" t="s">
        <v>1005</v>
      </c>
    </row>
    <row r="314" ht="15.75" customHeight="1">
      <c r="A314" s="18">
        <v>45608.0</v>
      </c>
      <c r="B314" s="16" t="str">
        <f t="shared" si="1"/>
        <v>November</v>
      </c>
      <c r="C314" s="2" t="s">
        <v>14</v>
      </c>
      <c r="D314" s="2" t="str">
        <f t="shared" si="2"/>
        <v>Bogotá</v>
      </c>
      <c r="E314" s="2" t="s">
        <v>279</v>
      </c>
      <c r="F314" s="2" t="str">
        <f>IFERROR(__xludf.DUMMYFUNCTION("SPLIT(E314, ""-"")"),"Tablet")</f>
        <v>Tablet</v>
      </c>
      <c r="G314" s="2" t="str">
        <f>IFERROR(__xludf.DUMMYFUNCTION("""COMPUTED_VALUE"""),"Pro")</f>
        <v>Pro</v>
      </c>
      <c r="H314" s="2" t="str">
        <f>IFERROR(__xludf.DUMMYFUNCTION("""COMPUTED_VALUE"""),"16GB")</f>
        <v>16GB</v>
      </c>
      <c r="I314" s="17">
        <v>2012.81</v>
      </c>
      <c r="J314" s="6">
        <v>4.0</v>
      </c>
      <c r="K314" s="17">
        <v>8051.24</v>
      </c>
      <c r="L314" s="2" t="s">
        <v>1006</v>
      </c>
      <c r="M314" s="2" t="s">
        <v>1007</v>
      </c>
      <c r="N314" s="2" t="s">
        <v>1008</v>
      </c>
    </row>
    <row r="315" ht="15.75" customHeight="1">
      <c r="A315" s="18">
        <v>45608.0</v>
      </c>
      <c r="B315" s="16" t="str">
        <f t="shared" si="1"/>
        <v>November</v>
      </c>
      <c r="C315" s="2" t="s">
        <v>57</v>
      </c>
      <c r="D315" s="2" t="str">
        <f t="shared" si="2"/>
        <v>Guadalajara</v>
      </c>
      <c r="E315" s="2" t="s">
        <v>62</v>
      </c>
      <c r="F315" s="2" t="str">
        <f>IFERROR(__xludf.DUMMYFUNCTION("SPLIT(E315, ""-"")"),"Laptop")</f>
        <v>Laptop</v>
      </c>
      <c r="G315" s="2" t="str">
        <f>IFERROR(__xludf.DUMMYFUNCTION("""COMPUTED_VALUE"""),"Ultraliviana")</f>
        <v>Ultraliviana</v>
      </c>
      <c r="H315" s="2" t="str">
        <f>IFERROR(__xludf.DUMMYFUNCTION("""COMPUTED_VALUE"""),"4GB")</f>
        <v>4GB</v>
      </c>
      <c r="I315" s="17">
        <v>1673.73</v>
      </c>
      <c r="J315" s="6">
        <v>1.0</v>
      </c>
      <c r="K315" s="17">
        <v>1673.73</v>
      </c>
      <c r="L315" s="2" t="s">
        <v>1009</v>
      </c>
      <c r="M315" s="2" t="s">
        <v>1010</v>
      </c>
      <c r="N315" s="2" t="s">
        <v>1011</v>
      </c>
    </row>
    <row r="316" ht="15.75" customHeight="1">
      <c r="A316" s="18">
        <v>45608.0</v>
      </c>
      <c r="B316" s="16" t="str">
        <f t="shared" si="1"/>
        <v>November</v>
      </c>
      <c r="C316" s="2" t="s">
        <v>34</v>
      </c>
      <c r="D316" s="2" t="str">
        <f t="shared" si="2"/>
        <v>Medellín</v>
      </c>
      <c r="E316" s="2" t="s">
        <v>35</v>
      </c>
      <c r="F316" s="2" t="str">
        <f>IFERROR(__xludf.DUMMYFUNCTION("SPLIT(E316, ""-"")"),"Tablet")</f>
        <v>Tablet</v>
      </c>
      <c r="G316" s="2" t="str">
        <f>IFERROR(__xludf.DUMMYFUNCTION("""COMPUTED_VALUE"""),"Pro")</f>
        <v>Pro</v>
      </c>
      <c r="H316" s="2" t="str">
        <f>IFERROR(__xludf.DUMMYFUNCTION("""COMPUTED_VALUE"""),"4GB")</f>
        <v>4GB</v>
      </c>
      <c r="I316" s="17">
        <v>1151.85</v>
      </c>
      <c r="J316" s="6">
        <v>5.0</v>
      </c>
      <c r="K316" s="17">
        <v>5759.25</v>
      </c>
      <c r="L316" s="2" t="s">
        <v>1012</v>
      </c>
      <c r="M316" s="2" t="s">
        <v>1013</v>
      </c>
      <c r="N316" s="2" t="s">
        <v>1014</v>
      </c>
    </row>
    <row r="317" ht="15.75" customHeight="1">
      <c r="A317" s="18">
        <v>45608.0</v>
      </c>
      <c r="B317" s="16" t="str">
        <f t="shared" si="1"/>
        <v>November</v>
      </c>
      <c r="C317" s="2" t="s">
        <v>57</v>
      </c>
      <c r="D317" s="2" t="str">
        <f t="shared" si="2"/>
        <v>Guadalajara</v>
      </c>
      <c r="E317" s="2" t="s">
        <v>88</v>
      </c>
      <c r="F317" s="2" t="str">
        <f>IFERROR(__xludf.DUMMYFUNCTION("SPLIT(E317, ""-"")"),"Laptop")</f>
        <v>Laptop</v>
      </c>
      <c r="G317" s="2" t="str">
        <f>IFERROR(__xludf.DUMMYFUNCTION("""COMPUTED_VALUE"""),"Gaming")</f>
        <v>Gaming</v>
      </c>
      <c r="H317" s="2" t="str">
        <f>IFERROR(__xludf.DUMMYFUNCTION("""COMPUTED_VALUE"""),"32GB")</f>
        <v>32GB</v>
      </c>
      <c r="I317" s="17">
        <v>1032.0</v>
      </c>
      <c r="J317" s="6">
        <v>4.0</v>
      </c>
      <c r="K317" s="17">
        <v>4128.0</v>
      </c>
      <c r="L317" s="2" t="s">
        <v>1015</v>
      </c>
      <c r="M317" s="2" t="s">
        <v>1016</v>
      </c>
      <c r="N317" s="2" t="s">
        <v>1017</v>
      </c>
    </row>
    <row r="318" ht="15.75" customHeight="1">
      <c r="A318" s="18">
        <v>45608.0</v>
      </c>
      <c r="B318" s="16" t="str">
        <f t="shared" si="1"/>
        <v>November</v>
      </c>
      <c r="C318" s="2" t="s">
        <v>74</v>
      </c>
      <c r="D318" s="2" t="str">
        <f t="shared" si="2"/>
        <v>Cali</v>
      </c>
      <c r="E318" s="2" t="s">
        <v>35</v>
      </c>
      <c r="F318" s="2" t="str">
        <f>IFERROR(__xludf.DUMMYFUNCTION("SPLIT(E318, ""-"")"),"Tablet")</f>
        <v>Tablet</v>
      </c>
      <c r="G318" s="2" t="str">
        <f>IFERROR(__xludf.DUMMYFUNCTION("""COMPUTED_VALUE"""),"Pro")</f>
        <v>Pro</v>
      </c>
      <c r="H318" s="2" t="str">
        <f>IFERROR(__xludf.DUMMYFUNCTION("""COMPUTED_VALUE"""),"4GB")</f>
        <v>4GB</v>
      </c>
      <c r="I318" s="20">
        <f>K318/J318</f>
        <v>1856.6</v>
      </c>
      <c r="J318" s="6">
        <v>2.0</v>
      </c>
      <c r="K318" s="17">
        <v>3713.2</v>
      </c>
      <c r="L318" s="2" t="s">
        <v>1018</v>
      </c>
      <c r="M318" s="2" t="s">
        <v>1019</v>
      </c>
      <c r="N318" s="2" t="s">
        <v>1020</v>
      </c>
    </row>
    <row r="319" ht="15.75" customHeight="1">
      <c r="A319" s="18">
        <v>45608.0</v>
      </c>
      <c r="B319" s="16" t="str">
        <f t="shared" si="1"/>
        <v>November</v>
      </c>
      <c r="C319" s="2" t="s">
        <v>9</v>
      </c>
      <c r="D319" s="2" t="str">
        <f t="shared" si="2"/>
        <v>Monterrey</v>
      </c>
      <c r="E319" s="2" t="s">
        <v>70</v>
      </c>
      <c r="F319" s="2" t="str">
        <f>IFERROR(__xludf.DUMMYFUNCTION("SPLIT(E319, ""-"")"),"Auriculares")</f>
        <v>Auriculares</v>
      </c>
      <c r="G319" s="2" t="str">
        <f>IFERROR(__xludf.DUMMYFUNCTION("""COMPUTED_VALUE"""),"Bluetooth")</f>
        <v>Bluetooth</v>
      </c>
      <c r="H319" s="2" t="str">
        <f>IFERROR(__xludf.DUMMYFUNCTION("""COMPUTED_VALUE"""),"16GB")</f>
        <v>16GB</v>
      </c>
      <c r="I319" s="17">
        <v>1383.94</v>
      </c>
      <c r="J319" s="6">
        <v>3.0</v>
      </c>
      <c r="K319" s="17">
        <v>4151.82</v>
      </c>
      <c r="L319" s="2" t="s">
        <v>1021</v>
      </c>
      <c r="M319" s="2" t="s">
        <v>1022</v>
      </c>
      <c r="N319" s="2" t="s">
        <v>1023</v>
      </c>
    </row>
    <row r="320" ht="15.75" customHeight="1">
      <c r="A320" s="18">
        <v>45608.0</v>
      </c>
      <c r="B320" s="16" t="str">
        <f t="shared" si="1"/>
        <v>November</v>
      </c>
      <c r="C320" s="2" t="s">
        <v>57</v>
      </c>
      <c r="D320" s="2" t="str">
        <f t="shared" si="2"/>
        <v>Guadalajara</v>
      </c>
      <c r="E320" s="2" t="s">
        <v>230</v>
      </c>
      <c r="F320" s="2" t="str">
        <f>IFERROR(__xludf.DUMMYFUNCTION("SPLIT(E320, ""-"")"),"Tablet")</f>
        <v>Tablet</v>
      </c>
      <c r="G320" s="2" t="str">
        <f>IFERROR(__xludf.DUMMYFUNCTION("""COMPUTED_VALUE"""),"Mini")</f>
        <v>Mini</v>
      </c>
      <c r="H320" s="2" t="str">
        <f>IFERROR(__xludf.DUMMYFUNCTION("""COMPUTED_VALUE"""),"16GB")</f>
        <v>16GB</v>
      </c>
      <c r="I320" s="17">
        <v>812.41</v>
      </c>
      <c r="J320" s="6">
        <v>5.0</v>
      </c>
      <c r="K320" s="17">
        <v>4062.05</v>
      </c>
      <c r="L320" s="2" t="s">
        <v>1024</v>
      </c>
      <c r="M320" s="2" t="s">
        <v>1025</v>
      </c>
      <c r="N320" s="2" t="s">
        <v>1026</v>
      </c>
    </row>
    <row r="321" ht="15.75" customHeight="1">
      <c r="A321" s="18">
        <v>45608.0</v>
      </c>
      <c r="B321" s="16" t="str">
        <f t="shared" si="1"/>
        <v>November</v>
      </c>
      <c r="C321" s="2" t="s">
        <v>57</v>
      </c>
      <c r="D321" s="2" t="str">
        <f t="shared" si="2"/>
        <v>Guadalajara</v>
      </c>
      <c r="E321" s="2" t="s">
        <v>22</v>
      </c>
      <c r="F321" s="2" t="str">
        <f>IFERROR(__xludf.DUMMYFUNCTION("SPLIT(E321, ""-"")"),"Tablet")</f>
        <v>Tablet</v>
      </c>
      <c r="G321" s="2" t="str">
        <f>IFERROR(__xludf.DUMMYFUNCTION("""COMPUTED_VALUE"""),"Estándar")</f>
        <v>Estándar</v>
      </c>
      <c r="H321" s="2" t="str">
        <f>IFERROR(__xludf.DUMMYFUNCTION("""COMPUTED_VALUE"""),"16GB")</f>
        <v>16GB</v>
      </c>
      <c r="I321" s="17">
        <v>424.12</v>
      </c>
      <c r="J321" s="6">
        <v>2.0</v>
      </c>
      <c r="K321" s="17">
        <v>848.24</v>
      </c>
      <c r="L321" s="2" t="s">
        <v>1027</v>
      </c>
      <c r="M321" s="2" t="s">
        <v>1028</v>
      </c>
      <c r="N321" s="2" t="s">
        <v>1029</v>
      </c>
    </row>
    <row r="322" ht="15.75" customHeight="1">
      <c r="A322" s="18">
        <v>45609.0</v>
      </c>
      <c r="B322" s="16" t="str">
        <f t="shared" si="1"/>
        <v>November</v>
      </c>
      <c r="C322" s="2" t="s">
        <v>14</v>
      </c>
      <c r="D322" s="2" t="str">
        <f t="shared" si="2"/>
        <v>Bogotá</v>
      </c>
      <c r="E322" s="2" t="s">
        <v>58</v>
      </c>
      <c r="F322" s="2" t="str">
        <f>IFERROR(__xludf.DUMMYFUNCTION("SPLIT(E322, ""-"")"),"Auriculares")</f>
        <v>Auriculares</v>
      </c>
      <c r="G322" s="2" t="str">
        <f>IFERROR(__xludf.DUMMYFUNCTION("""COMPUTED_VALUE"""),"Bluetooth")</f>
        <v>Bluetooth</v>
      </c>
      <c r="H322" s="2" t="str">
        <f>IFERROR(__xludf.DUMMYFUNCTION("""COMPUTED_VALUE"""),"4GB")</f>
        <v>4GB</v>
      </c>
      <c r="I322" s="20">
        <f>K322/J322</f>
        <v>1787.41</v>
      </c>
      <c r="J322" s="6">
        <v>1.0</v>
      </c>
      <c r="K322" s="17">
        <v>1787.41</v>
      </c>
      <c r="L322" s="2" t="s">
        <v>1030</v>
      </c>
      <c r="M322" s="2" t="s">
        <v>1031</v>
      </c>
      <c r="N322" s="2" t="s">
        <v>1032</v>
      </c>
    </row>
    <row r="323" ht="15.75" customHeight="1">
      <c r="A323" s="18">
        <v>45609.0</v>
      </c>
      <c r="B323" s="16" t="str">
        <f t="shared" si="1"/>
        <v>November</v>
      </c>
      <c r="C323" s="2" t="s">
        <v>9</v>
      </c>
      <c r="D323" s="2" t="str">
        <f t="shared" si="2"/>
        <v>Monterrey</v>
      </c>
      <c r="E323" s="2" t="s">
        <v>92</v>
      </c>
      <c r="F323" s="2" t="str">
        <f>IFERROR(__xludf.DUMMYFUNCTION("SPLIT(E323, ""-"")"),"Tablet")</f>
        <v>Tablet</v>
      </c>
      <c r="G323" s="2" t="str">
        <f>IFERROR(__xludf.DUMMYFUNCTION("""COMPUTED_VALUE"""),"Mini")</f>
        <v>Mini</v>
      </c>
      <c r="H323" s="2" t="str">
        <f>IFERROR(__xludf.DUMMYFUNCTION("""COMPUTED_VALUE"""),"8GB")</f>
        <v>8GB</v>
      </c>
      <c r="I323" s="17">
        <v>625.41</v>
      </c>
      <c r="J323" s="6">
        <v>2.0</v>
      </c>
      <c r="K323" s="17">
        <v>1250.82</v>
      </c>
      <c r="L323" s="2" t="s">
        <v>1033</v>
      </c>
      <c r="M323" s="2" t="s">
        <v>1034</v>
      </c>
      <c r="N323" s="2" t="s">
        <v>1035</v>
      </c>
    </row>
    <row r="324" ht="15.75" customHeight="1">
      <c r="A324" s="18">
        <v>45609.0</v>
      </c>
      <c r="B324" s="16" t="str">
        <f t="shared" si="1"/>
        <v>November</v>
      </c>
      <c r="C324" s="3" t="s">
        <v>29</v>
      </c>
      <c r="D324" s="2" t="str">
        <f t="shared" si="2"/>
        <v>Ciudad De Mexico</v>
      </c>
      <c r="E324" s="2" t="s">
        <v>316</v>
      </c>
      <c r="F324" s="2" t="str">
        <f>IFERROR(__xludf.DUMMYFUNCTION("SPLIT(E324, ""-"")"),"Tablet")</f>
        <v>Tablet</v>
      </c>
      <c r="G324" s="2" t="str">
        <f>IFERROR(__xludf.DUMMYFUNCTION("""COMPUTED_VALUE"""),"Pro")</f>
        <v>Pro</v>
      </c>
      <c r="H324" s="2" t="str">
        <f>IFERROR(__xludf.DUMMYFUNCTION("""COMPUTED_VALUE"""),"32GB")</f>
        <v>32GB</v>
      </c>
      <c r="I324" s="17">
        <v>2393.92</v>
      </c>
      <c r="J324" s="6">
        <v>3.0</v>
      </c>
      <c r="K324" s="17">
        <v>7181.76</v>
      </c>
      <c r="L324" s="2" t="s">
        <v>1036</v>
      </c>
      <c r="M324" s="2" t="s">
        <v>1037</v>
      </c>
      <c r="N324" s="2" t="s">
        <v>1038</v>
      </c>
    </row>
    <row r="325" ht="15.75" customHeight="1">
      <c r="A325" s="18">
        <v>45609.0</v>
      </c>
      <c r="B325" s="16" t="str">
        <f t="shared" si="1"/>
        <v>November</v>
      </c>
      <c r="C325" s="2" t="s">
        <v>9</v>
      </c>
      <c r="D325" s="2" t="str">
        <f t="shared" si="2"/>
        <v>Monterrey</v>
      </c>
      <c r="E325" s="2" t="s">
        <v>15</v>
      </c>
      <c r="F325" s="2" t="str">
        <f>IFERROR(__xludf.DUMMYFUNCTION("SPLIT(E325, ""-"")"),"Auriculares")</f>
        <v>Auriculares</v>
      </c>
      <c r="G325" s="2" t="str">
        <f>IFERROR(__xludf.DUMMYFUNCTION("""COMPUTED_VALUE"""),"Con cable")</f>
        <v>Con cable</v>
      </c>
      <c r="H325" s="2" t="str">
        <f>IFERROR(__xludf.DUMMYFUNCTION("""COMPUTED_VALUE"""),"32GB")</f>
        <v>32GB</v>
      </c>
      <c r="I325" s="17">
        <v>724.54</v>
      </c>
      <c r="J325" s="6">
        <v>5.0</v>
      </c>
      <c r="K325" s="17">
        <v>3622.7</v>
      </c>
      <c r="L325" s="2" t="s">
        <v>1039</v>
      </c>
      <c r="M325" s="2" t="s">
        <v>1040</v>
      </c>
      <c r="N325" s="2" t="s">
        <v>1041</v>
      </c>
    </row>
    <row r="326" ht="15.75" customHeight="1">
      <c r="A326" s="18">
        <v>45609.0</v>
      </c>
      <c r="B326" s="16" t="str">
        <f t="shared" si="1"/>
        <v>November</v>
      </c>
      <c r="C326" s="3" t="s">
        <v>29</v>
      </c>
      <c r="D326" s="2" t="str">
        <f t="shared" si="2"/>
        <v>Ciudad De Mexico</v>
      </c>
      <c r="E326" s="2" t="s">
        <v>256</v>
      </c>
      <c r="F326" s="2" t="str">
        <f>IFERROR(__xludf.DUMMYFUNCTION("SPLIT(E326, ""-"")"),"Auriculares")</f>
        <v>Auriculares</v>
      </c>
      <c r="G326" s="2" t="str">
        <f>IFERROR(__xludf.DUMMYFUNCTION("""COMPUTED_VALUE"""),"Cancelación de ruido")</f>
        <v>Cancelación de ruido</v>
      </c>
      <c r="H326" s="2" t="str">
        <f>IFERROR(__xludf.DUMMYFUNCTION("""COMPUTED_VALUE"""),"8GB")</f>
        <v>8GB</v>
      </c>
      <c r="I326" s="17">
        <v>1665.73</v>
      </c>
      <c r="J326" s="6">
        <v>2.0</v>
      </c>
      <c r="K326" s="17">
        <v>3331.46</v>
      </c>
      <c r="L326" s="2" t="s">
        <v>1042</v>
      </c>
      <c r="M326" s="2" t="s">
        <v>1043</v>
      </c>
      <c r="N326" s="2" t="s">
        <v>1044</v>
      </c>
    </row>
    <row r="327" ht="15.75" customHeight="1">
      <c r="A327" s="18">
        <v>45609.0</v>
      </c>
      <c r="B327" s="16" t="str">
        <f t="shared" si="1"/>
        <v>November</v>
      </c>
      <c r="C327" s="2" t="s">
        <v>14</v>
      </c>
      <c r="D327" s="2" t="str">
        <f t="shared" si="2"/>
        <v>Bogotá</v>
      </c>
      <c r="E327" s="2" t="s">
        <v>179</v>
      </c>
      <c r="F327" s="2" t="str">
        <f>IFERROR(__xludf.DUMMYFUNCTION("SPLIT(E327, ""-"")"),"Tablet")</f>
        <v>Tablet</v>
      </c>
      <c r="G327" s="2" t="str">
        <f>IFERROR(__xludf.DUMMYFUNCTION("""COMPUTED_VALUE"""),"Mini")</f>
        <v>Mini</v>
      </c>
      <c r="H327" s="2" t="str">
        <f>IFERROR(__xludf.DUMMYFUNCTION("""COMPUTED_VALUE"""),"4GB")</f>
        <v>4GB</v>
      </c>
      <c r="I327" s="17">
        <v>1373.32</v>
      </c>
      <c r="J327" s="6">
        <v>1.0</v>
      </c>
      <c r="K327" s="17">
        <v>1373.32</v>
      </c>
      <c r="L327" s="2" t="s">
        <v>1045</v>
      </c>
      <c r="M327" s="2" t="s">
        <v>1046</v>
      </c>
      <c r="N327" s="2" t="s">
        <v>1047</v>
      </c>
    </row>
    <row r="328" ht="15.75" customHeight="1">
      <c r="A328" s="18">
        <v>45609.0</v>
      </c>
      <c r="B328" s="16" t="str">
        <f t="shared" si="1"/>
        <v>November</v>
      </c>
      <c r="C328" s="2" t="s">
        <v>57</v>
      </c>
      <c r="D328" s="2" t="str">
        <f t="shared" si="2"/>
        <v>Guadalajara</v>
      </c>
      <c r="E328" s="2" t="s">
        <v>183</v>
      </c>
      <c r="F328" s="2" t="str">
        <f>IFERROR(__xludf.DUMMYFUNCTION("SPLIT(E328, ""-"")"),"Auriculares")</f>
        <v>Auriculares</v>
      </c>
      <c r="G328" s="2" t="str">
        <f>IFERROR(__xludf.DUMMYFUNCTION("""COMPUTED_VALUE"""),"Cancelaci√≥n de ruido")</f>
        <v>Cancelaci√≥n de ruido</v>
      </c>
      <c r="H328" s="2" t="str">
        <f>IFERROR(__xludf.DUMMYFUNCTION("""COMPUTED_VALUE"""),"16GB")</f>
        <v>16GB</v>
      </c>
      <c r="I328" s="17">
        <v>1899.66</v>
      </c>
      <c r="J328" s="6">
        <v>2.0</v>
      </c>
      <c r="K328" s="17">
        <v>3799.32</v>
      </c>
      <c r="L328" s="2" t="s">
        <v>1048</v>
      </c>
      <c r="M328" s="2" t="s">
        <v>1049</v>
      </c>
      <c r="N328" s="8" t="s">
        <v>1050</v>
      </c>
    </row>
    <row r="329" ht="15.75" customHeight="1">
      <c r="A329" s="18">
        <v>45609.0</v>
      </c>
      <c r="B329" s="16" t="str">
        <f t="shared" si="1"/>
        <v>November</v>
      </c>
      <c r="C329" s="2" t="s">
        <v>74</v>
      </c>
      <c r="D329" s="2" t="str">
        <f t="shared" si="2"/>
        <v>Cali</v>
      </c>
      <c r="E329" s="2" t="s">
        <v>130</v>
      </c>
      <c r="F329" s="2" t="str">
        <f>IFERROR(__xludf.DUMMYFUNCTION("SPLIT(E329, ""-"")"),"Tablet")</f>
        <v>Tablet</v>
      </c>
      <c r="G329" s="2" t="str">
        <f>IFERROR(__xludf.DUMMYFUNCTION("""COMPUTED_VALUE"""),"Pro")</f>
        <v>Pro</v>
      </c>
      <c r="H329" s="2" t="str">
        <f>IFERROR(__xludf.DUMMYFUNCTION("""COMPUTED_VALUE"""),"8GB")</f>
        <v>8GB</v>
      </c>
      <c r="I329" s="17">
        <v>1873.69</v>
      </c>
      <c r="J329" s="6">
        <v>2.0</v>
      </c>
      <c r="K329" s="17">
        <v>3747.38</v>
      </c>
      <c r="L329" s="2" t="s">
        <v>1051</v>
      </c>
      <c r="M329" s="2" t="s">
        <v>1052</v>
      </c>
      <c r="N329" s="2" t="s">
        <v>1053</v>
      </c>
    </row>
    <row r="330" ht="15.75" customHeight="1">
      <c r="A330" s="18">
        <v>45609.0</v>
      </c>
      <c r="B330" s="16" t="str">
        <f t="shared" si="1"/>
        <v>November</v>
      </c>
      <c r="C330" s="2" t="s">
        <v>57</v>
      </c>
      <c r="D330" s="2" t="str">
        <f t="shared" si="2"/>
        <v>Guadalajara</v>
      </c>
      <c r="E330" s="2" t="s">
        <v>49</v>
      </c>
      <c r="F330" s="2" t="str">
        <f>IFERROR(__xludf.DUMMYFUNCTION("SPLIT(E330, ""-"")"),"Tablet")</f>
        <v>Tablet</v>
      </c>
      <c r="G330" s="2" t="str">
        <f>IFERROR(__xludf.DUMMYFUNCTION("""COMPUTED_VALUE"""),"Estándar")</f>
        <v>Estándar</v>
      </c>
      <c r="H330" s="2" t="str">
        <f>IFERROR(__xludf.DUMMYFUNCTION("""COMPUTED_VALUE"""),"32GB")</f>
        <v>32GB</v>
      </c>
      <c r="I330" s="17">
        <v>181.51</v>
      </c>
      <c r="J330" s="6">
        <v>5.0</v>
      </c>
      <c r="K330" s="17">
        <v>907.55</v>
      </c>
      <c r="L330" s="2" t="s">
        <v>1054</v>
      </c>
      <c r="M330" s="2" t="s">
        <v>1055</v>
      </c>
      <c r="N330" s="2" t="s">
        <v>1056</v>
      </c>
    </row>
    <row r="331" ht="15.75" customHeight="1">
      <c r="A331" s="18">
        <v>45609.0</v>
      </c>
      <c r="B331" s="16" t="str">
        <f t="shared" si="1"/>
        <v>November</v>
      </c>
      <c r="C331" s="2" t="s">
        <v>14</v>
      </c>
      <c r="D331" s="2" t="str">
        <f t="shared" si="2"/>
        <v>Bogotá</v>
      </c>
      <c r="E331" s="2" t="s">
        <v>165</v>
      </c>
      <c r="F331" s="2" t="str">
        <f>IFERROR(__xludf.DUMMYFUNCTION("SPLIT(E331, ""-"")"),"Auriculares")</f>
        <v>Auriculares</v>
      </c>
      <c r="G331" s="2" t="str">
        <f>IFERROR(__xludf.DUMMYFUNCTION("""COMPUTED_VALUE"""),"Bluetooth")</f>
        <v>Bluetooth</v>
      </c>
      <c r="H331" s="2" t="str">
        <f>IFERROR(__xludf.DUMMYFUNCTION("""COMPUTED_VALUE"""),"32GB")</f>
        <v>32GB</v>
      </c>
      <c r="I331" s="17">
        <v>1029.22</v>
      </c>
      <c r="J331" s="6">
        <v>5.0</v>
      </c>
      <c r="K331" s="17">
        <v>5146.1</v>
      </c>
      <c r="L331" s="2" t="s">
        <v>1057</v>
      </c>
      <c r="M331" s="2" t="s">
        <v>1058</v>
      </c>
      <c r="N331" s="2" t="s">
        <v>1059</v>
      </c>
    </row>
    <row r="332" ht="15.75" customHeight="1">
      <c r="A332" s="18">
        <v>45609.0</v>
      </c>
      <c r="B332" s="16" t="str">
        <f t="shared" si="1"/>
        <v>November</v>
      </c>
      <c r="C332" s="2" t="s">
        <v>34</v>
      </c>
      <c r="D332" s="2" t="str">
        <f t="shared" si="2"/>
        <v>Medellín</v>
      </c>
      <c r="E332" s="2" t="s">
        <v>427</v>
      </c>
      <c r="F332" s="2" t="str">
        <f>IFERROR(__xludf.DUMMYFUNCTION("SPLIT(E332, ""-"")"),"Teléfono")</f>
        <v>Teléfono</v>
      </c>
      <c r="G332" s="2" t="str">
        <f>IFERROR(__xludf.DUMMYFUNCTION("""COMPUTED_VALUE"""),"Gama alta")</f>
        <v>Gama alta</v>
      </c>
      <c r="H332" s="2" t="str">
        <f>IFERROR(__xludf.DUMMYFUNCTION("""COMPUTED_VALUE"""),"4GB")</f>
        <v>4GB</v>
      </c>
      <c r="I332" s="17">
        <v>1177.91</v>
      </c>
      <c r="J332" s="6">
        <v>2.0</v>
      </c>
      <c r="K332" s="17">
        <v>2355.82</v>
      </c>
      <c r="L332" s="2" t="s">
        <v>1060</v>
      </c>
      <c r="M332" s="2" t="s">
        <v>1061</v>
      </c>
      <c r="N332" s="2" t="s">
        <v>1062</v>
      </c>
    </row>
    <row r="333" ht="15.75" customHeight="1">
      <c r="A333" s="18">
        <v>45610.0</v>
      </c>
      <c r="B333" s="16" t="str">
        <f t="shared" si="1"/>
        <v>November</v>
      </c>
      <c r="C333" s="2" t="s">
        <v>74</v>
      </c>
      <c r="D333" s="2" t="str">
        <f t="shared" si="2"/>
        <v>Cali</v>
      </c>
      <c r="E333" s="2" t="s">
        <v>22</v>
      </c>
      <c r="F333" s="2" t="str">
        <f>IFERROR(__xludf.DUMMYFUNCTION("SPLIT(E333, ""-"")"),"Tablet")</f>
        <v>Tablet</v>
      </c>
      <c r="G333" s="2" t="str">
        <f>IFERROR(__xludf.DUMMYFUNCTION("""COMPUTED_VALUE"""),"Estándar")</f>
        <v>Estándar</v>
      </c>
      <c r="H333" s="2" t="str">
        <f>IFERROR(__xludf.DUMMYFUNCTION("""COMPUTED_VALUE"""),"16GB")</f>
        <v>16GB</v>
      </c>
      <c r="I333" s="17">
        <v>1618.43</v>
      </c>
      <c r="J333" s="6">
        <v>3.0</v>
      </c>
      <c r="K333" s="17">
        <v>4855.29</v>
      </c>
      <c r="L333" s="2" t="s">
        <v>1063</v>
      </c>
      <c r="M333" s="2" t="s">
        <v>1064</v>
      </c>
      <c r="N333" s="2" t="s">
        <v>1065</v>
      </c>
    </row>
    <row r="334" ht="15.75" customHeight="1">
      <c r="A334" s="18">
        <v>45610.0</v>
      </c>
      <c r="B334" s="16" t="str">
        <f t="shared" si="1"/>
        <v>November</v>
      </c>
      <c r="C334" s="2" t="s">
        <v>57</v>
      </c>
      <c r="D334" s="2" t="str">
        <f t="shared" si="2"/>
        <v>Guadalajara</v>
      </c>
      <c r="E334" s="2" t="s">
        <v>316</v>
      </c>
      <c r="F334" s="2" t="str">
        <f>IFERROR(__xludf.DUMMYFUNCTION("SPLIT(E334, ""-"")"),"Tablet")</f>
        <v>Tablet</v>
      </c>
      <c r="G334" s="2" t="str">
        <f>IFERROR(__xludf.DUMMYFUNCTION("""COMPUTED_VALUE"""),"Pro")</f>
        <v>Pro</v>
      </c>
      <c r="H334" s="2" t="str">
        <f>IFERROR(__xludf.DUMMYFUNCTION("""COMPUTED_VALUE"""),"32GB")</f>
        <v>32GB</v>
      </c>
      <c r="I334" s="17">
        <v>2064.2</v>
      </c>
      <c r="J334" s="6">
        <v>1.0</v>
      </c>
      <c r="K334" s="17">
        <v>2064.2</v>
      </c>
      <c r="L334" s="2" t="s">
        <v>1066</v>
      </c>
      <c r="M334" s="2" t="s">
        <v>1067</v>
      </c>
      <c r="N334" s="2" t="s">
        <v>1068</v>
      </c>
    </row>
    <row r="335" ht="15.75" customHeight="1">
      <c r="A335" s="18">
        <v>45610.0</v>
      </c>
      <c r="B335" s="16" t="str">
        <f t="shared" si="1"/>
        <v>November</v>
      </c>
      <c r="C335" s="3" t="s">
        <v>29</v>
      </c>
      <c r="D335" s="2" t="str">
        <f t="shared" si="2"/>
        <v>Ciudad De Mexico</v>
      </c>
      <c r="E335" s="2" t="s">
        <v>215</v>
      </c>
      <c r="F335" s="2" t="str">
        <f>IFERROR(__xludf.DUMMYFUNCTION("SPLIT(E335, ""-"")"),"Teléfono")</f>
        <v>Teléfono</v>
      </c>
      <c r="G335" s="2" t="str">
        <f>IFERROR(__xludf.DUMMYFUNCTION("""COMPUTED_VALUE"""),"Gama media")</f>
        <v>Gama media</v>
      </c>
      <c r="H335" s="2" t="str">
        <f>IFERROR(__xludf.DUMMYFUNCTION("""COMPUTED_VALUE"""),"4GB")</f>
        <v>4GB</v>
      </c>
      <c r="I335" s="17">
        <v>1152.44</v>
      </c>
      <c r="J335" s="6">
        <v>5.0</v>
      </c>
      <c r="K335" s="17">
        <v>5762.2</v>
      </c>
      <c r="L335" s="2" t="s">
        <v>1069</v>
      </c>
      <c r="M335" s="2" t="s">
        <v>1070</v>
      </c>
      <c r="N335" s="2" t="s">
        <v>1071</v>
      </c>
    </row>
    <row r="336" ht="15.75" customHeight="1">
      <c r="A336" s="18">
        <v>45610.0</v>
      </c>
      <c r="B336" s="16" t="str">
        <f t="shared" si="1"/>
        <v>November</v>
      </c>
      <c r="C336" s="2" t="s">
        <v>57</v>
      </c>
      <c r="D336" s="2" t="str">
        <f t="shared" si="2"/>
        <v>Guadalajara</v>
      </c>
      <c r="E336" s="2" t="s">
        <v>15</v>
      </c>
      <c r="F336" s="2" t="str">
        <f>IFERROR(__xludf.DUMMYFUNCTION("SPLIT(E336, ""-"")"),"Auriculares")</f>
        <v>Auriculares</v>
      </c>
      <c r="G336" s="2" t="str">
        <f>IFERROR(__xludf.DUMMYFUNCTION("""COMPUTED_VALUE"""),"Con cable")</f>
        <v>Con cable</v>
      </c>
      <c r="H336" s="2" t="str">
        <f>IFERROR(__xludf.DUMMYFUNCTION("""COMPUTED_VALUE"""),"32GB")</f>
        <v>32GB</v>
      </c>
      <c r="I336" s="17">
        <v>1051.49</v>
      </c>
      <c r="J336" s="6">
        <v>3.0</v>
      </c>
      <c r="K336" s="17">
        <v>3154.47</v>
      </c>
      <c r="L336" s="2" t="s">
        <v>1072</v>
      </c>
      <c r="M336" s="2" t="s">
        <v>1073</v>
      </c>
      <c r="N336" s="2" t="s">
        <v>1074</v>
      </c>
    </row>
    <row r="337" ht="15.75" customHeight="1">
      <c r="A337" s="18">
        <v>45610.0</v>
      </c>
      <c r="B337" s="16" t="str">
        <f t="shared" si="1"/>
        <v>November</v>
      </c>
      <c r="C337" s="2" t="s">
        <v>57</v>
      </c>
      <c r="D337" s="2" t="str">
        <f t="shared" si="2"/>
        <v>Guadalajara</v>
      </c>
      <c r="E337" s="2" t="s">
        <v>1075</v>
      </c>
      <c r="F337" s="2" t="str">
        <f>IFERROR(__xludf.DUMMYFUNCTION("SPLIT(E337, ""-"")"),"Laptop")</f>
        <v>Laptop</v>
      </c>
      <c r="G337" s="2" t="str">
        <f>IFERROR(__xludf.DUMMYFUNCTION("""COMPUTED_VALUE"""),"Gaming")</f>
        <v>Gaming</v>
      </c>
      <c r="H337" s="2" t="str">
        <f>IFERROR(__xludf.DUMMYFUNCTION("""COMPUTED_VALUE"""),"32GB ")</f>
        <v>32GB </v>
      </c>
      <c r="I337" s="17">
        <v>446.49</v>
      </c>
      <c r="J337" s="6">
        <v>3.0</v>
      </c>
      <c r="K337" s="17">
        <v>1339.47</v>
      </c>
      <c r="L337" s="2" t="s">
        <v>1076</v>
      </c>
      <c r="M337" s="2" t="s">
        <v>1077</v>
      </c>
      <c r="N337" s="2" t="s">
        <v>1078</v>
      </c>
    </row>
    <row r="338" ht="15.75" customHeight="1">
      <c r="A338" s="18">
        <v>45610.0</v>
      </c>
      <c r="B338" s="16" t="str">
        <f t="shared" si="1"/>
        <v>November</v>
      </c>
      <c r="C338" s="2" t="s">
        <v>34</v>
      </c>
      <c r="D338" s="2" t="str">
        <f t="shared" si="2"/>
        <v>Medellín</v>
      </c>
      <c r="E338" s="2" t="s">
        <v>269</v>
      </c>
      <c r="F338" s="2" t="str">
        <f>IFERROR(__xludf.DUMMYFUNCTION("SPLIT(E338, ""-"")"),"Teléfono")</f>
        <v>Teléfono</v>
      </c>
      <c r="G338" s="2" t="str">
        <f>IFERROR(__xludf.DUMMYFUNCTION("""COMPUTED_VALUE"""),"Gama baja")</f>
        <v>Gama baja</v>
      </c>
      <c r="H338" s="2" t="str">
        <f>IFERROR(__xludf.DUMMYFUNCTION("""COMPUTED_VALUE"""),"32GB")</f>
        <v>32GB</v>
      </c>
      <c r="I338" s="17">
        <v>879.78</v>
      </c>
      <c r="J338" s="6">
        <v>1.0</v>
      </c>
      <c r="K338" s="17">
        <v>879.78</v>
      </c>
      <c r="L338" s="2" t="s">
        <v>1079</v>
      </c>
      <c r="M338" s="2" t="s">
        <v>1080</v>
      </c>
      <c r="N338" s="2" t="s">
        <v>1081</v>
      </c>
    </row>
    <row r="339" ht="15.75" customHeight="1">
      <c r="A339" s="18">
        <v>45610.0</v>
      </c>
      <c r="B339" s="16" t="str">
        <f t="shared" si="1"/>
        <v>November</v>
      </c>
      <c r="C339" s="2" t="s">
        <v>34</v>
      </c>
      <c r="D339" s="2" t="str">
        <f t="shared" si="2"/>
        <v>Medellín</v>
      </c>
      <c r="E339" s="2" t="s">
        <v>10</v>
      </c>
      <c r="F339" s="2" t="str">
        <f>IFERROR(__xludf.DUMMYFUNCTION("SPLIT(E339, ""-"")"),"Tablet")</f>
        <v>Tablet</v>
      </c>
      <c r="G339" s="2" t="str">
        <f>IFERROR(__xludf.DUMMYFUNCTION("""COMPUTED_VALUE"""),"Estándar")</f>
        <v>Estándar</v>
      </c>
      <c r="H339" s="2" t="str">
        <f>IFERROR(__xludf.DUMMYFUNCTION("""COMPUTED_VALUE"""),"8GB")</f>
        <v>8GB</v>
      </c>
      <c r="I339" s="17">
        <v>1001.15</v>
      </c>
      <c r="J339" s="6">
        <v>4.0</v>
      </c>
      <c r="K339" s="17">
        <v>4004.6</v>
      </c>
      <c r="L339" s="2" t="s">
        <v>1082</v>
      </c>
      <c r="M339" s="2" t="s">
        <v>1083</v>
      </c>
      <c r="N339" s="2" t="s">
        <v>1084</v>
      </c>
    </row>
    <row r="340" ht="15.75" customHeight="1">
      <c r="A340" s="18">
        <v>45610.0</v>
      </c>
      <c r="B340" s="16" t="str">
        <f t="shared" si="1"/>
        <v>November</v>
      </c>
      <c r="C340" s="2" t="s">
        <v>9</v>
      </c>
      <c r="D340" s="2" t="str">
        <f t="shared" si="2"/>
        <v>Monterrey</v>
      </c>
      <c r="E340" s="2" t="s">
        <v>35</v>
      </c>
      <c r="F340" s="2" t="str">
        <f>IFERROR(__xludf.DUMMYFUNCTION("SPLIT(E340, ""-"")"),"Tablet")</f>
        <v>Tablet</v>
      </c>
      <c r="G340" s="2" t="str">
        <f>IFERROR(__xludf.DUMMYFUNCTION("""COMPUTED_VALUE"""),"Pro")</f>
        <v>Pro</v>
      </c>
      <c r="H340" s="2" t="str">
        <f>IFERROR(__xludf.DUMMYFUNCTION("""COMPUTED_VALUE"""),"4GB")</f>
        <v>4GB</v>
      </c>
      <c r="I340" s="17">
        <v>2224.61</v>
      </c>
      <c r="J340" s="6">
        <v>4.0</v>
      </c>
      <c r="K340" s="17">
        <v>8898.44</v>
      </c>
      <c r="L340" s="2" t="s">
        <v>1085</v>
      </c>
      <c r="M340" s="2" t="s">
        <v>1086</v>
      </c>
      <c r="N340" s="2" t="s">
        <v>1087</v>
      </c>
    </row>
    <row r="341" ht="15.75" customHeight="1">
      <c r="A341" s="18">
        <v>45610.0</v>
      </c>
      <c r="B341" s="16" t="str">
        <f t="shared" si="1"/>
        <v>November</v>
      </c>
      <c r="C341" s="2" t="s">
        <v>14</v>
      </c>
      <c r="D341" s="2" t="str">
        <f t="shared" si="2"/>
        <v>Bogotá</v>
      </c>
      <c r="E341" s="2" t="s">
        <v>130</v>
      </c>
      <c r="F341" s="2" t="str">
        <f>IFERROR(__xludf.DUMMYFUNCTION("SPLIT(E341, ""-"")"),"Tablet")</f>
        <v>Tablet</v>
      </c>
      <c r="G341" s="2" t="str">
        <f>IFERROR(__xludf.DUMMYFUNCTION("""COMPUTED_VALUE"""),"Pro")</f>
        <v>Pro</v>
      </c>
      <c r="H341" s="2" t="str">
        <f>IFERROR(__xludf.DUMMYFUNCTION("""COMPUTED_VALUE"""),"8GB")</f>
        <v>8GB</v>
      </c>
      <c r="I341" s="17">
        <v>563.11</v>
      </c>
      <c r="J341" s="6">
        <v>1.0</v>
      </c>
      <c r="K341" s="17">
        <v>563.11</v>
      </c>
      <c r="L341" s="2" t="s">
        <v>1088</v>
      </c>
      <c r="M341" s="2" t="s">
        <v>1089</v>
      </c>
      <c r="N341" s="2" t="s">
        <v>1090</v>
      </c>
    </row>
    <row r="342" ht="15.75" customHeight="1">
      <c r="A342" s="18">
        <v>45610.0</v>
      </c>
      <c r="B342" s="16" t="str">
        <f t="shared" si="1"/>
        <v>November</v>
      </c>
      <c r="C342" s="2" t="s">
        <v>34</v>
      </c>
      <c r="D342" s="2" t="str">
        <f t="shared" si="2"/>
        <v>Medellín</v>
      </c>
      <c r="E342" s="2" t="s">
        <v>341</v>
      </c>
      <c r="F342" s="2" t="str">
        <f>IFERROR(__xludf.DUMMYFUNCTION("SPLIT(E342, ""-"")"),"Laptop")</f>
        <v>Laptop</v>
      </c>
      <c r="G342" s="2" t="str">
        <f>IFERROR(__xludf.DUMMYFUNCTION("""COMPUTED_VALUE"""),"Ultraliviana")</f>
        <v>Ultraliviana</v>
      </c>
      <c r="H342" s="2" t="str">
        <f>IFERROR(__xludf.DUMMYFUNCTION("""COMPUTED_VALUE"""),"8GB")</f>
        <v>8GB</v>
      </c>
      <c r="I342" s="17">
        <v>1165.81</v>
      </c>
      <c r="J342" s="6">
        <v>1.0</v>
      </c>
      <c r="K342" s="17">
        <v>1165.81</v>
      </c>
      <c r="L342" s="2" t="s">
        <v>1091</v>
      </c>
      <c r="M342" s="2" t="s">
        <v>1092</v>
      </c>
      <c r="N342" s="2" t="s">
        <v>1093</v>
      </c>
    </row>
    <row r="343" ht="15.75" customHeight="1">
      <c r="A343" s="18">
        <v>45610.0</v>
      </c>
      <c r="B343" s="16" t="str">
        <f t="shared" si="1"/>
        <v>November</v>
      </c>
      <c r="C343" s="2" t="s">
        <v>14</v>
      </c>
      <c r="D343" s="2" t="str">
        <f t="shared" si="2"/>
        <v>Bogotá</v>
      </c>
      <c r="E343" s="21" t="s">
        <v>2340</v>
      </c>
      <c r="F343" s="2" t="str">
        <f>IFERROR(__xludf.DUMMYFUNCTION("SPLIT(E343, ""-"")"),"Teléfono")</f>
        <v>Teléfono</v>
      </c>
      <c r="G343" s="2" t="str">
        <f>IFERROR(__xludf.DUMMYFUNCTION("""COMPUTED_VALUE"""),"Gama media")</f>
        <v>Gama media</v>
      </c>
      <c r="H343" s="2" t="str">
        <f>IFERROR(__xludf.DUMMYFUNCTION("""COMPUTED_VALUE"""),"8GB")</f>
        <v>8GB</v>
      </c>
      <c r="I343" s="17">
        <v>718.69</v>
      </c>
      <c r="J343" s="6">
        <v>4.0</v>
      </c>
      <c r="K343" s="17">
        <v>2874.76</v>
      </c>
      <c r="L343" s="2" t="s">
        <v>1094</v>
      </c>
      <c r="M343" s="2" t="s">
        <v>1095</v>
      </c>
      <c r="N343" s="2" t="s">
        <v>1096</v>
      </c>
    </row>
    <row r="344" ht="15.75" customHeight="1">
      <c r="A344" s="18">
        <v>45610.0</v>
      </c>
      <c r="B344" s="16" t="str">
        <f t="shared" si="1"/>
        <v>November</v>
      </c>
      <c r="C344" s="2" t="s">
        <v>9</v>
      </c>
      <c r="D344" s="2" t="str">
        <f t="shared" si="2"/>
        <v>Monterrey</v>
      </c>
      <c r="E344" s="2" t="s">
        <v>1097</v>
      </c>
      <c r="F344" s="2" t="str">
        <f>IFERROR(__xludf.DUMMYFUNCTION("SPLIT(E344, ""-"")"),"Auriculares")</f>
        <v>Auriculares</v>
      </c>
      <c r="G344" s="2" t="str">
        <f>IFERROR(__xludf.DUMMYFUNCTION("""COMPUTED_VALUE"""),"Bluetooth")</f>
        <v>Bluetooth</v>
      </c>
      <c r="H344" s="2" t="str">
        <f>IFERROR(__xludf.DUMMYFUNCTION("""COMPUTED_VALUE"""),"8GB ")</f>
        <v>8GB </v>
      </c>
      <c r="I344" s="17">
        <v>2474.36</v>
      </c>
      <c r="J344" s="6">
        <v>2.0</v>
      </c>
      <c r="K344" s="17">
        <v>4948.72</v>
      </c>
      <c r="L344" s="2" t="s">
        <v>1098</v>
      </c>
      <c r="M344" s="2" t="s">
        <v>1099</v>
      </c>
      <c r="N344" s="2" t="s">
        <v>1100</v>
      </c>
    </row>
    <row r="345" ht="15.75" customHeight="1">
      <c r="A345" s="18">
        <v>45610.0</v>
      </c>
      <c r="B345" s="16" t="str">
        <f t="shared" si="1"/>
        <v>November</v>
      </c>
      <c r="C345" s="2" t="s">
        <v>74</v>
      </c>
      <c r="D345" s="2" t="str">
        <f t="shared" si="2"/>
        <v>Cali</v>
      </c>
      <c r="E345" s="2" t="s">
        <v>179</v>
      </c>
      <c r="F345" s="2" t="str">
        <f>IFERROR(__xludf.DUMMYFUNCTION("SPLIT(E345, ""-"")"),"Tablet")</f>
        <v>Tablet</v>
      </c>
      <c r="G345" s="2" t="str">
        <f>IFERROR(__xludf.DUMMYFUNCTION("""COMPUTED_VALUE"""),"Mini")</f>
        <v>Mini</v>
      </c>
      <c r="H345" s="2" t="str">
        <f>IFERROR(__xludf.DUMMYFUNCTION("""COMPUTED_VALUE"""),"4GB")</f>
        <v>4GB</v>
      </c>
      <c r="I345" s="17">
        <v>1876.88</v>
      </c>
      <c r="J345" s="6">
        <v>4.0</v>
      </c>
      <c r="K345" s="17">
        <v>7507.52</v>
      </c>
      <c r="L345" s="2" t="s">
        <v>1101</v>
      </c>
      <c r="M345" s="2" t="s">
        <v>1102</v>
      </c>
      <c r="N345" s="2" t="s">
        <v>1103</v>
      </c>
    </row>
    <row r="346" ht="15.75" customHeight="1">
      <c r="A346" s="18">
        <v>45611.0</v>
      </c>
      <c r="B346" s="16" t="str">
        <f t="shared" si="1"/>
        <v>November</v>
      </c>
      <c r="C346" s="2" t="s">
        <v>34</v>
      </c>
      <c r="D346" s="2" t="str">
        <f t="shared" si="2"/>
        <v>Medellín</v>
      </c>
      <c r="E346" s="2" t="s">
        <v>130</v>
      </c>
      <c r="F346" s="2" t="str">
        <f>IFERROR(__xludf.DUMMYFUNCTION("SPLIT(E346, ""-"")"),"Tablet")</f>
        <v>Tablet</v>
      </c>
      <c r="G346" s="2" t="str">
        <f>IFERROR(__xludf.DUMMYFUNCTION("""COMPUTED_VALUE"""),"Pro")</f>
        <v>Pro</v>
      </c>
      <c r="H346" s="2" t="str">
        <f>IFERROR(__xludf.DUMMYFUNCTION("""COMPUTED_VALUE"""),"8GB")</f>
        <v>8GB</v>
      </c>
      <c r="I346" s="17">
        <v>450.01</v>
      </c>
      <c r="J346" s="6">
        <v>4.0</v>
      </c>
      <c r="K346" s="17">
        <v>1800.04</v>
      </c>
      <c r="L346" s="2" t="s">
        <v>1104</v>
      </c>
      <c r="M346" s="2" t="s">
        <v>1105</v>
      </c>
      <c r="N346" s="2" t="s">
        <v>1106</v>
      </c>
    </row>
    <row r="347" ht="15.75" customHeight="1">
      <c r="A347" s="18">
        <v>45611.0</v>
      </c>
      <c r="B347" s="16" t="str">
        <f t="shared" si="1"/>
        <v>November</v>
      </c>
      <c r="C347" s="3" t="s">
        <v>29</v>
      </c>
      <c r="D347" s="2" t="str">
        <f t="shared" si="2"/>
        <v>Ciudad De Mexico</v>
      </c>
      <c r="E347" s="2" t="s">
        <v>66</v>
      </c>
      <c r="F347" s="2" t="str">
        <f>IFERROR(__xludf.DUMMYFUNCTION("SPLIT(E347, ""-"")"),"Tablet")</f>
        <v>Tablet</v>
      </c>
      <c r="G347" s="2" t="str">
        <f>IFERROR(__xludf.DUMMYFUNCTION("""COMPUTED_VALUE"""),"Estándar")</f>
        <v>Estándar</v>
      </c>
      <c r="H347" s="2" t="str">
        <f>IFERROR(__xludf.DUMMYFUNCTION("""COMPUTED_VALUE"""),"4GB")</f>
        <v>4GB</v>
      </c>
      <c r="I347" s="17">
        <v>1808.18</v>
      </c>
      <c r="J347" s="6">
        <v>5.0</v>
      </c>
      <c r="K347" s="17">
        <v>9040.9</v>
      </c>
      <c r="L347" s="2" t="s">
        <v>1107</v>
      </c>
      <c r="M347" s="2" t="s">
        <v>1108</v>
      </c>
      <c r="N347" s="2" t="s">
        <v>1109</v>
      </c>
    </row>
    <row r="348" ht="15.75" customHeight="1">
      <c r="A348" s="18">
        <v>45611.0</v>
      </c>
      <c r="B348" s="16" t="str">
        <f t="shared" si="1"/>
        <v>November</v>
      </c>
      <c r="C348" s="2" t="s">
        <v>74</v>
      </c>
      <c r="D348" s="2" t="str">
        <f t="shared" si="2"/>
        <v>Cali</v>
      </c>
      <c r="E348" s="2" t="s">
        <v>179</v>
      </c>
      <c r="F348" s="2" t="str">
        <f>IFERROR(__xludf.DUMMYFUNCTION("SPLIT(E348, ""-"")"),"Tablet")</f>
        <v>Tablet</v>
      </c>
      <c r="G348" s="2" t="str">
        <f>IFERROR(__xludf.DUMMYFUNCTION("""COMPUTED_VALUE"""),"Mini")</f>
        <v>Mini</v>
      </c>
      <c r="H348" s="2" t="str">
        <f>IFERROR(__xludf.DUMMYFUNCTION("""COMPUTED_VALUE"""),"4GB")</f>
        <v>4GB</v>
      </c>
      <c r="I348" s="17">
        <v>914.84</v>
      </c>
      <c r="J348" s="6">
        <v>4.0</v>
      </c>
      <c r="K348" s="17">
        <v>3659.36</v>
      </c>
      <c r="L348" s="2" t="s">
        <v>1110</v>
      </c>
      <c r="M348" s="2" t="s">
        <v>1111</v>
      </c>
      <c r="N348" s="8" t="s">
        <v>1112</v>
      </c>
    </row>
    <row r="349" ht="15.75" customHeight="1">
      <c r="A349" s="18">
        <v>45611.0</v>
      </c>
      <c r="B349" s="16" t="str">
        <f t="shared" si="1"/>
        <v>November</v>
      </c>
      <c r="C349" s="2" t="s">
        <v>57</v>
      </c>
      <c r="D349" s="2" t="str">
        <f t="shared" si="2"/>
        <v>Guadalajara</v>
      </c>
      <c r="E349" s="2" t="s">
        <v>75</v>
      </c>
      <c r="F349" s="2" t="str">
        <f>IFERROR(__xludf.DUMMYFUNCTION("SPLIT(E349, ""-"")"),"Tablet")</f>
        <v>Tablet</v>
      </c>
      <c r="G349" s="2" t="str">
        <f>IFERROR(__xludf.DUMMYFUNCTION("""COMPUTED_VALUE"""),"Mini")</f>
        <v>Mini</v>
      </c>
      <c r="H349" s="2" t="str">
        <f>IFERROR(__xludf.DUMMYFUNCTION("""COMPUTED_VALUE"""),"32GB")</f>
        <v>32GB</v>
      </c>
      <c r="I349" s="17">
        <v>210.37</v>
      </c>
      <c r="J349" s="6">
        <v>1.0</v>
      </c>
      <c r="K349" s="17">
        <v>210.37</v>
      </c>
      <c r="L349" s="2" t="s">
        <v>1113</v>
      </c>
      <c r="M349" s="2" t="s">
        <v>1114</v>
      </c>
      <c r="N349" s="2" t="s">
        <v>1115</v>
      </c>
    </row>
    <row r="350" ht="15.75" customHeight="1">
      <c r="A350" s="18">
        <v>45611.0</v>
      </c>
      <c r="B350" s="16" t="str">
        <f t="shared" si="1"/>
        <v>November</v>
      </c>
      <c r="C350" s="2" t="s">
        <v>34</v>
      </c>
      <c r="D350" s="2" t="str">
        <f t="shared" si="2"/>
        <v>Medellín</v>
      </c>
      <c r="E350" s="2" t="s">
        <v>62</v>
      </c>
      <c r="F350" s="2" t="str">
        <f>IFERROR(__xludf.DUMMYFUNCTION("SPLIT(E350, ""-"")"),"Laptop")</f>
        <v>Laptop</v>
      </c>
      <c r="G350" s="2" t="str">
        <f>IFERROR(__xludf.DUMMYFUNCTION("""COMPUTED_VALUE"""),"Ultraliviana")</f>
        <v>Ultraliviana</v>
      </c>
      <c r="H350" s="2" t="str">
        <f>IFERROR(__xludf.DUMMYFUNCTION("""COMPUTED_VALUE"""),"4GB")</f>
        <v>4GB</v>
      </c>
      <c r="I350" s="17">
        <v>1767.16</v>
      </c>
      <c r="J350" s="6">
        <v>1.0</v>
      </c>
      <c r="K350" s="17">
        <v>1767.16</v>
      </c>
      <c r="L350" s="2" t="s">
        <v>1116</v>
      </c>
      <c r="M350" s="2" t="s">
        <v>1117</v>
      </c>
      <c r="N350" s="2" t="s">
        <v>1118</v>
      </c>
    </row>
    <row r="351" ht="15.75" customHeight="1">
      <c r="A351" s="18">
        <v>45611.0</v>
      </c>
      <c r="B351" s="16" t="str">
        <f t="shared" si="1"/>
        <v>November</v>
      </c>
      <c r="C351" s="2" t="s">
        <v>57</v>
      </c>
      <c r="D351" s="2" t="str">
        <f t="shared" si="2"/>
        <v>Guadalajara</v>
      </c>
      <c r="E351" s="2" t="s">
        <v>427</v>
      </c>
      <c r="F351" s="2" t="str">
        <f>IFERROR(__xludf.DUMMYFUNCTION("SPLIT(E351, ""-"")"),"Teléfono")</f>
        <v>Teléfono</v>
      </c>
      <c r="G351" s="2" t="str">
        <f>IFERROR(__xludf.DUMMYFUNCTION("""COMPUTED_VALUE"""),"Gama alta")</f>
        <v>Gama alta</v>
      </c>
      <c r="H351" s="2" t="str">
        <f>IFERROR(__xludf.DUMMYFUNCTION("""COMPUTED_VALUE"""),"4GB")</f>
        <v>4GB</v>
      </c>
      <c r="I351" s="17">
        <v>1832.97</v>
      </c>
      <c r="J351" s="6">
        <v>2.0</v>
      </c>
      <c r="K351" s="17">
        <v>3665.94</v>
      </c>
      <c r="L351" s="2" t="s">
        <v>1119</v>
      </c>
      <c r="M351" s="2" t="s">
        <v>1120</v>
      </c>
      <c r="N351" s="2" t="s">
        <v>1121</v>
      </c>
    </row>
    <row r="352" ht="15.75" customHeight="1">
      <c r="A352" s="18">
        <v>45611.0</v>
      </c>
      <c r="B352" s="16" t="str">
        <f t="shared" si="1"/>
        <v>November</v>
      </c>
      <c r="C352" s="2" t="s">
        <v>57</v>
      </c>
      <c r="D352" s="2" t="str">
        <f t="shared" si="2"/>
        <v>Guadalajara</v>
      </c>
      <c r="E352" s="2" t="s">
        <v>66</v>
      </c>
      <c r="F352" s="2" t="str">
        <f>IFERROR(__xludf.DUMMYFUNCTION("SPLIT(E352, ""-"")"),"Tablet")</f>
        <v>Tablet</v>
      </c>
      <c r="G352" s="2" t="str">
        <f>IFERROR(__xludf.DUMMYFUNCTION("""COMPUTED_VALUE"""),"Estándar")</f>
        <v>Estándar</v>
      </c>
      <c r="H352" s="2" t="str">
        <f>IFERROR(__xludf.DUMMYFUNCTION("""COMPUTED_VALUE"""),"4GB")</f>
        <v>4GB</v>
      </c>
      <c r="I352" s="17">
        <v>1159.32</v>
      </c>
      <c r="J352" s="6">
        <v>5.0</v>
      </c>
      <c r="K352" s="17">
        <v>5796.6</v>
      </c>
      <c r="L352" s="2" t="s">
        <v>1122</v>
      </c>
      <c r="M352" s="2" t="s">
        <v>1123</v>
      </c>
      <c r="N352" s="2" t="s">
        <v>1124</v>
      </c>
    </row>
    <row r="353" ht="15.75" customHeight="1">
      <c r="A353" s="18">
        <v>45611.0</v>
      </c>
      <c r="B353" s="16" t="str">
        <f t="shared" si="1"/>
        <v>November</v>
      </c>
      <c r="C353" s="2" t="s">
        <v>14</v>
      </c>
      <c r="D353" s="2" t="str">
        <f t="shared" si="2"/>
        <v>Bogotá</v>
      </c>
      <c r="E353" s="21" t="s">
        <v>2340</v>
      </c>
      <c r="F353" s="2" t="str">
        <f>IFERROR(__xludf.DUMMYFUNCTION("SPLIT(E353, ""-"")"),"Teléfono")</f>
        <v>Teléfono</v>
      </c>
      <c r="G353" s="2" t="str">
        <f>IFERROR(__xludf.DUMMYFUNCTION("""COMPUTED_VALUE"""),"Gama media")</f>
        <v>Gama media</v>
      </c>
      <c r="H353" s="2" t="str">
        <f>IFERROR(__xludf.DUMMYFUNCTION("""COMPUTED_VALUE"""),"8GB")</f>
        <v>8GB</v>
      </c>
      <c r="I353" s="17">
        <v>120.49</v>
      </c>
      <c r="J353" s="6">
        <v>3.0</v>
      </c>
      <c r="K353" s="17">
        <v>361.47</v>
      </c>
      <c r="L353" s="2" t="s">
        <v>1125</v>
      </c>
      <c r="M353" s="2" t="s">
        <v>1126</v>
      </c>
      <c r="N353" s="2" t="s">
        <v>1127</v>
      </c>
    </row>
    <row r="354" ht="15.75" customHeight="1">
      <c r="A354" s="18">
        <v>45611.0</v>
      </c>
      <c r="B354" s="16" t="str">
        <f t="shared" si="1"/>
        <v>November</v>
      </c>
      <c r="C354" s="2" t="s">
        <v>74</v>
      </c>
      <c r="D354" s="2" t="str">
        <f t="shared" si="2"/>
        <v>Cali</v>
      </c>
      <c r="E354" s="2" t="s">
        <v>370</v>
      </c>
      <c r="F354" s="2" t="str">
        <f>IFERROR(__xludf.DUMMYFUNCTION("SPLIT(E354, ""-"")"),"Teléfono")</f>
        <v>Teléfono</v>
      </c>
      <c r="G354" s="2" t="str">
        <f>IFERROR(__xludf.DUMMYFUNCTION("""COMPUTED_VALUE"""),"Gama media")</f>
        <v>Gama media</v>
      </c>
      <c r="H354" s="2" t="str">
        <f>IFERROR(__xludf.DUMMYFUNCTION("""COMPUTED_VALUE"""),"16GB")</f>
        <v>16GB</v>
      </c>
      <c r="I354" s="17">
        <v>84.76</v>
      </c>
      <c r="J354" s="6">
        <v>4.0</v>
      </c>
      <c r="K354" s="17">
        <v>339.04</v>
      </c>
      <c r="L354" s="2" t="s">
        <v>1128</v>
      </c>
      <c r="M354" s="2" t="s">
        <v>1129</v>
      </c>
      <c r="N354" s="2" t="s">
        <v>1130</v>
      </c>
    </row>
    <row r="355" ht="15.75" customHeight="1">
      <c r="A355" s="18">
        <v>45611.0</v>
      </c>
      <c r="B355" s="16" t="str">
        <f t="shared" si="1"/>
        <v>November</v>
      </c>
      <c r="C355" s="2" t="s">
        <v>14</v>
      </c>
      <c r="D355" s="2" t="str">
        <f t="shared" si="2"/>
        <v>Bogotá</v>
      </c>
      <c r="E355" s="2" t="s">
        <v>161</v>
      </c>
      <c r="F355" s="2" t="str">
        <f>IFERROR(__xludf.DUMMYFUNCTION("SPLIT(E355, ""-"")"),"Laptop")</f>
        <v>Laptop</v>
      </c>
      <c r="G355" s="2" t="str">
        <f>IFERROR(__xludf.DUMMYFUNCTION("""COMPUTED_VALUE"""),"Oficina")</f>
        <v>Oficina</v>
      </c>
      <c r="H355" s="2" t="str">
        <f>IFERROR(__xludf.DUMMYFUNCTION("""COMPUTED_VALUE"""),"32GB")</f>
        <v>32GB</v>
      </c>
      <c r="I355" s="17">
        <v>969.37</v>
      </c>
      <c r="J355" s="6">
        <v>3.0</v>
      </c>
      <c r="K355" s="17">
        <v>2908.11</v>
      </c>
      <c r="L355" s="2" t="s">
        <v>1131</v>
      </c>
      <c r="M355" s="2" t="s">
        <v>1132</v>
      </c>
      <c r="N355" s="2" t="s">
        <v>1133</v>
      </c>
    </row>
    <row r="356" ht="15.75" customHeight="1">
      <c r="A356" s="18">
        <v>45611.0</v>
      </c>
      <c r="B356" s="16" t="str">
        <f t="shared" si="1"/>
        <v>November</v>
      </c>
      <c r="C356" s="2" t="s">
        <v>57</v>
      </c>
      <c r="D356" s="2" t="str">
        <f t="shared" si="2"/>
        <v>Guadalajara</v>
      </c>
      <c r="E356" s="2" t="s">
        <v>130</v>
      </c>
      <c r="F356" s="2" t="str">
        <f>IFERROR(__xludf.DUMMYFUNCTION("SPLIT(E356, ""-"")"),"Tablet")</f>
        <v>Tablet</v>
      </c>
      <c r="G356" s="2" t="str">
        <f>IFERROR(__xludf.DUMMYFUNCTION("""COMPUTED_VALUE"""),"Pro")</f>
        <v>Pro</v>
      </c>
      <c r="H356" s="2" t="str">
        <f>IFERROR(__xludf.DUMMYFUNCTION("""COMPUTED_VALUE"""),"8GB")</f>
        <v>8GB</v>
      </c>
      <c r="I356" s="17">
        <v>1318.47</v>
      </c>
      <c r="J356" s="6">
        <v>1.0</v>
      </c>
      <c r="K356" s="17">
        <v>1318.47</v>
      </c>
      <c r="L356" s="3" t="s">
        <v>1134</v>
      </c>
      <c r="M356" s="2" t="s">
        <v>1135</v>
      </c>
      <c r="N356" s="2" t="s">
        <v>1136</v>
      </c>
    </row>
    <row r="357" ht="15.75" customHeight="1">
      <c r="A357" s="18">
        <v>45611.0</v>
      </c>
      <c r="B357" s="16" t="str">
        <f t="shared" si="1"/>
        <v>November</v>
      </c>
      <c r="C357" s="2" t="s">
        <v>57</v>
      </c>
      <c r="D357" s="2" t="str">
        <f t="shared" si="2"/>
        <v>Guadalajara</v>
      </c>
      <c r="E357" s="2" t="s">
        <v>183</v>
      </c>
      <c r="F357" s="2" t="str">
        <f>IFERROR(__xludf.DUMMYFUNCTION("SPLIT(E357, ""-"")"),"Auriculares")</f>
        <v>Auriculares</v>
      </c>
      <c r="G357" s="2" t="str">
        <f>IFERROR(__xludf.DUMMYFUNCTION("""COMPUTED_VALUE"""),"Cancelaci√≥n de ruido")</f>
        <v>Cancelaci√≥n de ruido</v>
      </c>
      <c r="H357" s="2" t="str">
        <f>IFERROR(__xludf.DUMMYFUNCTION("""COMPUTED_VALUE"""),"16GB")</f>
        <v>16GB</v>
      </c>
      <c r="I357" s="17">
        <v>1943.33</v>
      </c>
      <c r="J357" s="6">
        <v>1.0</v>
      </c>
      <c r="K357" s="17">
        <v>1943.33</v>
      </c>
      <c r="L357" s="2" t="s">
        <v>1137</v>
      </c>
      <c r="M357" s="2" t="s">
        <v>1138</v>
      </c>
      <c r="N357" s="2" t="s">
        <v>1139</v>
      </c>
    </row>
    <row r="358" ht="15.75" customHeight="1">
      <c r="A358" s="18">
        <v>45611.0</v>
      </c>
      <c r="B358" s="16" t="str">
        <f t="shared" si="1"/>
        <v>November</v>
      </c>
      <c r="C358" s="2" t="s">
        <v>34</v>
      </c>
      <c r="D358" s="2" t="str">
        <f t="shared" si="2"/>
        <v>Medellín</v>
      </c>
      <c r="E358" s="2" t="s">
        <v>53</v>
      </c>
      <c r="F358" s="2" t="str">
        <f>IFERROR(__xludf.DUMMYFUNCTION("SPLIT(E358, ""-"")"),"Laptop")</f>
        <v>Laptop</v>
      </c>
      <c r="G358" s="2" t="str">
        <f>IFERROR(__xludf.DUMMYFUNCTION("""COMPUTED_VALUE"""),"Oficina")</f>
        <v>Oficina</v>
      </c>
      <c r="H358" s="2" t="str">
        <f>IFERROR(__xludf.DUMMYFUNCTION("""COMPUTED_VALUE"""),"8GB")</f>
        <v>8GB</v>
      </c>
      <c r="I358" s="17">
        <v>2040.92</v>
      </c>
      <c r="J358" s="6">
        <v>1.0</v>
      </c>
      <c r="K358" s="17">
        <v>2040.92</v>
      </c>
      <c r="L358" s="2" t="s">
        <v>1140</v>
      </c>
      <c r="M358" s="2" t="s">
        <v>1141</v>
      </c>
      <c r="N358" s="2" t="s">
        <v>1142</v>
      </c>
    </row>
    <row r="359" ht="15.75" customHeight="1">
      <c r="A359" s="18">
        <v>45611.0</v>
      </c>
      <c r="B359" s="16" t="str">
        <f t="shared" si="1"/>
        <v>November</v>
      </c>
      <c r="C359" s="2" t="s">
        <v>57</v>
      </c>
      <c r="D359" s="2" t="str">
        <f t="shared" si="2"/>
        <v>Guadalajara</v>
      </c>
      <c r="E359" s="2" t="s">
        <v>370</v>
      </c>
      <c r="F359" s="2" t="str">
        <f>IFERROR(__xludf.DUMMYFUNCTION("SPLIT(E359, ""-"")"),"Teléfono")</f>
        <v>Teléfono</v>
      </c>
      <c r="G359" s="2" t="str">
        <f>IFERROR(__xludf.DUMMYFUNCTION("""COMPUTED_VALUE"""),"Gama media")</f>
        <v>Gama media</v>
      </c>
      <c r="H359" s="2" t="str">
        <f>IFERROR(__xludf.DUMMYFUNCTION("""COMPUTED_VALUE"""),"16GB")</f>
        <v>16GB</v>
      </c>
      <c r="I359" s="17">
        <v>1626.83</v>
      </c>
      <c r="J359" s="6">
        <v>1.0</v>
      </c>
      <c r="K359" s="17">
        <v>1626.83</v>
      </c>
      <c r="L359" s="2" t="s">
        <v>1143</v>
      </c>
      <c r="M359" s="2" t="s">
        <v>1144</v>
      </c>
      <c r="N359" s="8" t="s">
        <v>1145</v>
      </c>
    </row>
    <row r="360" ht="15.75" customHeight="1">
      <c r="A360" s="18">
        <v>45612.0</v>
      </c>
      <c r="B360" s="16" t="str">
        <f t="shared" si="1"/>
        <v>November</v>
      </c>
      <c r="C360" s="3" t="s">
        <v>29</v>
      </c>
      <c r="D360" s="2" t="str">
        <f t="shared" si="2"/>
        <v>Ciudad De Mexico</v>
      </c>
      <c r="E360" s="2" t="s">
        <v>66</v>
      </c>
      <c r="F360" s="2" t="str">
        <f>IFERROR(__xludf.DUMMYFUNCTION("SPLIT(E360, ""-"")"),"Tablet")</f>
        <v>Tablet</v>
      </c>
      <c r="G360" s="2" t="str">
        <f>IFERROR(__xludf.DUMMYFUNCTION("""COMPUTED_VALUE"""),"Estándar")</f>
        <v>Estándar</v>
      </c>
      <c r="H360" s="2" t="str">
        <f>IFERROR(__xludf.DUMMYFUNCTION("""COMPUTED_VALUE"""),"4GB")</f>
        <v>4GB</v>
      </c>
      <c r="I360" s="17">
        <v>1137.01</v>
      </c>
      <c r="J360" s="6">
        <v>3.0</v>
      </c>
      <c r="K360" s="17">
        <v>3411.03</v>
      </c>
      <c r="L360" s="2" t="s">
        <v>1146</v>
      </c>
      <c r="M360" s="2" t="s">
        <v>1147</v>
      </c>
      <c r="N360" s="2" t="s">
        <v>1148</v>
      </c>
    </row>
    <row r="361" ht="15.75" customHeight="1">
      <c r="A361" s="18">
        <v>45612.0</v>
      </c>
      <c r="B361" s="16" t="str">
        <f t="shared" si="1"/>
        <v>November</v>
      </c>
      <c r="C361" s="2" t="s">
        <v>74</v>
      </c>
      <c r="D361" s="2" t="str">
        <f t="shared" si="2"/>
        <v>Cali</v>
      </c>
      <c r="E361" s="2" t="s">
        <v>119</v>
      </c>
      <c r="F361" s="2" t="str">
        <f>IFERROR(__xludf.DUMMYFUNCTION("SPLIT(E361, ""-"")"),"Teléfono")</f>
        <v>Teléfono</v>
      </c>
      <c r="G361" s="2" t="str">
        <f>IFERROR(__xludf.DUMMYFUNCTION("""COMPUTED_VALUE"""),"Gama alta")</f>
        <v>Gama alta</v>
      </c>
      <c r="H361" s="2" t="str">
        <f>IFERROR(__xludf.DUMMYFUNCTION("""COMPUTED_VALUE"""),"8GB")</f>
        <v>8GB</v>
      </c>
      <c r="I361" s="17">
        <v>1216.59</v>
      </c>
      <c r="J361" s="6">
        <v>3.0</v>
      </c>
      <c r="K361" s="17">
        <v>3649.77</v>
      </c>
      <c r="L361" s="2" t="s">
        <v>1149</v>
      </c>
      <c r="M361" s="2" t="s">
        <v>1150</v>
      </c>
      <c r="N361" s="2" t="s">
        <v>1151</v>
      </c>
    </row>
    <row r="362" ht="15.75" customHeight="1">
      <c r="A362" s="18">
        <v>45612.0</v>
      </c>
      <c r="B362" s="16" t="str">
        <f t="shared" si="1"/>
        <v>November</v>
      </c>
      <c r="C362" s="2" t="s">
        <v>14</v>
      </c>
      <c r="D362" s="2" t="str">
        <f t="shared" si="2"/>
        <v>Bogotá</v>
      </c>
      <c r="E362" s="2" t="s">
        <v>79</v>
      </c>
      <c r="F362" s="2" t="str">
        <f>IFERROR(__xludf.DUMMYFUNCTION("SPLIT(E362, ""-"")"),"Laptop")</f>
        <v>Laptop</v>
      </c>
      <c r="G362" s="2" t="str">
        <f>IFERROR(__xludf.DUMMYFUNCTION("""COMPUTED_VALUE"""),"Oficina")</f>
        <v>Oficina</v>
      </c>
      <c r="H362" s="2" t="str">
        <f>IFERROR(__xludf.DUMMYFUNCTION("""COMPUTED_VALUE"""),"16GB")</f>
        <v>16GB</v>
      </c>
      <c r="I362" s="17">
        <v>1141.88</v>
      </c>
      <c r="J362" s="6">
        <v>5.0</v>
      </c>
      <c r="K362" s="17">
        <v>5709.4</v>
      </c>
      <c r="L362" s="2" t="s">
        <v>1152</v>
      </c>
      <c r="M362" s="2" t="s">
        <v>1153</v>
      </c>
      <c r="N362" s="2" t="s">
        <v>1154</v>
      </c>
    </row>
    <row r="363" ht="15.75" customHeight="1">
      <c r="A363" s="18">
        <v>45612.0</v>
      </c>
      <c r="B363" s="16" t="str">
        <f t="shared" si="1"/>
        <v>November</v>
      </c>
      <c r="C363" s="2" t="s">
        <v>9</v>
      </c>
      <c r="D363" s="2" t="str">
        <f t="shared" si="2"/>
        <v>Monterrey</v>
      </c>
      <c r="E363" s="2" t="s">
        <v>161</v>
      </c>
      <c r="F363" s="2" t="str">
        <f>IFERROR(__xludf.DUMMYFUNCTION("SPLIT(E363, ""-"")"),"Laptop")</f>
        <v>Laptop</v>
      </c>
      <c r="G363" s="2" t="str">
        <f>IFERROR(__xludf.DUMMYFUNCTION("""COMPUTED_VALUE"""),"Oficina")</f>
        <v>Oficina</v>
      </c>
      <c r="H363" s="2" t="str">
        <f>IFERROR(__xludf.DUMMYFUNCTION("""COMPUTED_VALUE"""),"32GB")</f>
        <v>32GB</v>
      </c>
      <c r="I363" s="17">
        <v>416.81</v>
      </c>
      <c r="J363" s="6">
        <v>2.0</v>
      </c>
      <c r="K363" s="17">
        <v>833.62</v>
      </c>
      <c r="L363" s="2" t="s">
        <v>1155</v>
      </c>
      <c r="M363" s="2" t="s">
        <v>1156</v>
      </c>
      <c r="N363" s="2" t="s">
        <v>1157</v>
      </c>
    </row>
    <row r="364" ht="15.75" customHeight="1">
      <c r="A364" s="18">
        <v>45612.0</v>
      </c>
      <c r="B364" s="16" t="str">
        <f t="shared" si="1"/>
        <v>November</v>
      </c>
      <c r="C364" s="2" t="s">
        <v>9</v>
      </c>
      <c r="D364" s="2" t="str">
        <f t="shared" si="2"/>
        <v>Monterrey</v>
      </c>
      <c r="E364" s="2" t="s">
        <v>15</v>
      </c>
      <c r="F364" s="2" t="str">
        <f>IFERROR(__xludf.DUMMYFUNCTION("SPLIT(E364, ""-"")"),"Auriculares")</f>
        <v>Auriculares</v>
      </c>
      <c r="G364" s="2" t="str">
        <f>IFERROR(__xludf.DUMMYFUNCTION("""COMPUTED_VALUE"""),"Con cable")</f>
        <v>Con cable</v>
      </c>
      <c r="H364" s="2" t="str">
        <f>IFERROR(__xludf.DUMMYFUNCTION("""COMPUTED_VALUE"""),"32GB")</f>
        <v>32GB</v>
      </c>
      <c r="I364" s="17">
        <v>347.49</v>
      </c>
      <c r="J364" s="6">
        <v>5.0</v>
      </c>
      <c r="K364" s="17">
        <v>1737.45</v>
      </c>
      <c r="L364" s="2" t="s">
        <v>1158</v>
      </c>
      <c r="M364" s="2" t="s">
        <v>1159</v>
      </c>
      <c r="N364" s="2" t="s">
        <v>1160</v>
      </c>
    </row>
    <row r="365" ht="15.75" customHeight="1">
      <c r="A365" s="18">
        <v>45612.0</v>
      </c>
      <c r="B365" s="16" t="str">
        <f t="shared" si="1"/>
        <v>November</v>
      </c>
      <c r="C365" s="2" t="s">
        <v>57</v>
      </c>
      <c r="D365" s="2" t="str">
        <f t="shared" si="2"/>
        <v>Guadalajara</v>
      </c>
      <c r="E365" s="2" t="s">
        <v>187</v>
      </c>
      <c r="F365" s="2" t="str">
        <f>IFERROR(__xludf.DUMMYFUNCTION("SPLIT(E365, ""-"")"),"Laptop")</f>
        <v>Laptop</v>
      </c>
      <c r="G365" s="2" t="str">
        <f>IFERROR(__xludf.DUMMYFUNCTION("""COMPUTED_VALUE"""),"Ultraliviana")</f>
        <v>Ultraliviana</v>
      </c>
      <c r="H365" s="2" t="str">
        <f>IFERROR(__xludf.DUMMYFUNCTION("""COMPUTED_VALUE"""),"16GB")</f>
        <v>16GB</v>
      </c>
      <c r="I365" s="17">
        <v>1346.1</v>
      </c>
      <c r="J365" s="6">
        <v>1.0</v>
      </c>
      <c r="K365" s="17">
        <v>1346.1</v>
      </c>
      <c r="L365" s="2" t="s">
        <v>1161</v>
      </c>
      <c r="M365" s="2" t="s">
        <v>1162</v>
      </c>
      <c r="N365" s="2" t="s">
        <v>1163</v>
      </c>
    </row>
    <row r="366" ht="15.75" customHeight="1">
      <c r="A366" s="18">
        <v>45612.0</v>
      </c>
      <c r="B366" s="16" t="str">
        <f t="shared" si="1"/>
        <v>November</v>
      </c>
      <c r="C366" s="2" t="s">
        <v>57</v>
      </c>
      <c r="D366" s="2" t="str">
        <f t="shared" si="2"/>
        <v>Guadalajara</v>
      </c>
      <c r="E366" s="2" t="s">
        <v>308</v>
      </c>
      <c r="F366" s="2" t="str">
        <f>IFERROR(__xludf.DUMMYFUNCTION("SPLIT(E366, ""-"")"),"Laptop")</f>
        <v>Laptop</v>
      </c>
      <c r="G366" s="2" t="str">
        <f>IFERROR(__xludf.DUMMYFUNCTION("""COMPUTED_VALUE"""),"Ultraliviana")</f>
        <v>Ultraliviana</v>
      </c>
      <c r="H366" s="2" t="str">
        <f>IFERROR(__xludf.DUMMYFUNCTION("""COMPUTED_VALUE"""),"32GB")</f>
        <v>32GB</v>
      </c>
      <c r="I366" s="17">
        <v>1101.82</v>
      </c>
      <c r="J366" s="6">
        <v>5.0</v>
      </c>
      <c r="K366" s="17">
        <v>5509.1</v>
      </c>
      <c r="L366" s="2" t="s">
        <v>1164</v>
      </c>
      <c r="M366" s="2" t="s">
        <v>1165</v>
      </c>
      <c r="N366" s="2" t="s">
        <v>1166</v>
      </c>
    </row>
    <row r="367" ht="15.75" customHeight="1">
      <c r="A367" s="18">
        <v>45612.0</v>
      </c>
      <c r="B367" s="16" t="str">
        <f t="shared" si="1"/>
        <v>November</v>
      </c>
      <c r="C367" s="2" t="s">
        <v>57</v>
      </c>
      <c r="D367" s="2" t="str">
        <f t="shared" si="2"/>
        <v>Guadalajara</v>
      </c>
      <c r="E367" s="2" t="s">
        <v>179</v>
      </c>
      <c r="F367" s="2" t="str">
        <f>IFERROR(__xludf.DUMMYFUNCTION("SPLIT(E367, ""-"")"),"Tablet")</f>
        <v>Tablet</v>
      </c>
      <c r="G367" s="2" t="str">
        <f>IFERROR(__xludf.DUMMYFUNCTION("""COMPUTED_VALUE"""),"Mini")</f>
        <v>Mini</v>
      </c>
      <c r="H367" s="2" t="str">
        <f>IFERROR(__xludf.DUMMYFUNCTION("""COMPUTED_VALUE"""),"4GB")</f>
        <v>4GB</v>
      </c>
      <c r="I367" s="17">
        <v>1843.37</v>
      </c>
      <c r="J367" s="6">
        <v>3.0</v>
      </c>
      <c r="K367" s="17">
        <v>5530.11</v>
      </c>
      <c r="L367" s="2" t="s">
        <v>1167</v>
      </c>
      <c r="M367" s="2" t="s">
        <v>1168</v>
      </c>
      <c r="N367" s="2" t="s">
        <v>1169</v>
      </c>
    </row>
    <row r="368" ht="15.75" customHeight="1">
      <c r="A368" s="18">
        <v>45612.0</v>
      </c>
      <c r="B368" s="16" t="str">
        <f t="shared" si="1"/>
        <v>November</v>
      </c>
      <c r="C368" s="2" t="s">
        <v>74</v>
      </c>
      <c r="D368" s="2" t="str">
        <f t="shared" si="2"/>
        <v>Cali</v>
      </c>
      <c r="E368" s="2" t="s">
        <v>386</v>
      </c>
      <c r="F368" s="2" t="str">
        <f>IFERROR(__xludf.DUMMYFUNCTION("SPLIT(E368, ""-"")"),"Auriculares")</f>
        <v>Auriculares</v>
      </c>
      <c r="G368" s="2" t="str">
        <f>IFERROR(__xludf.DUMMYFUNCTION("""COMPUTED_VALUE"""),"Cancelación de ruido")</f>
        <v>Cancelación de ruido</v>
      </c>
      <c r="H368" s="2" t="str">
        <f>IFERROR(__xludf.DUMMYFUNCTION("""COMPUTED_VALUE"""),"4GB")</f>
        <v>4GB</v>
      </c>
      <c r="I368" s="17">
        <v>627.26</v>
      </c>
      <c r="J368" s="6">
        <v>1.0</v>
      </c>
      <c r="K368" s="17">
        <v>627.26</v>
      </c>
      <c r="L368" s="2" t="s">
        <v>1170</v>
      </c>
      <c r="M368" s="2" t="s">
        <v>1171</v>
      </c>
      <c r="N368" s="2" t="s">
        <v>1172</v>
      </c>
    </row>
    <row r="369" ht="15.75" customHeight="1">
      <c r="A369" s="18">
        <v>45612.0</v>
      </c>
      <c r="B369" s="16" t="str">
        <f t="shared" si="1"/>
        <v>November</v>
      </c>
      <c r="C369" s="2" t="s">
        <v>14</v>
      </c>
      <c r="D369" s="2" t="str">
        <f t="shared" si="2"/>
        <v>Bogotá</v>
      </c>
      <c r="E369" s="2" t="s">
        <v>370</v>
      </c>
      <c r="F369" s="2" t="str">
        <f>IFERROR(__xludf.DUMMYFUNCTION("SPLIT(E369, ""-"")"),"Teléfono")</f>
        <v>Teléfono</v>
      </c>
      <c r="G369" s="2" t="str">
        <f>IFERROR(__xludf.DUMMYFUNCTION("""COMPUTED_VALUE"""),"Gama media")</f>
        <v>Gama media</v>
      </c>
      <c r="H369" s="2" t="str">
        <f>IFERROR(__xludf.DUMMYFUNCTION("""COMPUTED_VALUE"""),"16GB")</f>
        <v>16GB</v>
      </c>
      <c r="I369" s="17">
        <v>1375.44</v>
      </c>
      <c r="J369" s="6">
        <v>4.0</v>
      </c>
      <c r="K369" s="17">
        <v>5501.76</v>
      </c>
      <c r="L369" s="2" t="s">
        <v>1173</v>
      </c>
      <c r="M369" s="2" t="s">
        <v>1174</v>
      </c>
      <c r="N369" s="2" t="s">
        <v>1175</v>
      </c>
    </row>
    <row r="370" ht="15.75" customHeight="1">
      <c r="A370" s="18">
        <v>45612.0</v>
      </c>
      <c r="B370" s="16" t="str">
        <f t="shared" si="1"/>
        <v>November</v>
      </c>
      <c r="C370" s="2" t="s">
        <v>57</v>
      </c>
      <c r="D370" s="2" t="str">
        <f t="shared" si="2"/>
        <v>Guadalajara</v>
      </c>
      <c r="E370" s="2" t="s">
        <v>386</v>
      </c>
      <c r="F370" s="2" t="str">
        <f>IFERROR(__xludf.DUMMYFUNCTION("SPLIT(E370, ""-"")"),"Auriculares")</f>
        <v>Auriculares</v>
      </c>
      <c r="G370" s="2" t="str">
        <f>IFERROR(__xludf.DUMMYFUNCTION("""COMPUTED_VALUE"""),"Cancelación de ruido")</f>
        <v>Cancelación de ruido</v>
      </c>
      <c r="H370" s="2" t="str">
        <f>IFERROR(__xludf.DUMMYFUNCTION("""COMPUTED_VALUE"""),"4GB")</f>
        <v>4GB</v>
      </c>
      <c r="I370" s="17">
        <v>1397.49</v>
      </c>
      <c r="J370" s="6">
        <v>3.0</v>
      </c>
      <c r="K370" s="17">
        <v>4192.47</v>
      </c>
      <c r="L370" s="2" t="s">
        <v>1176</v>
      </c>
      <c r="M370" s="2" t="s">
        <v>1177</v>
      </c>
      <c r="N370" s="2" t="s">
        <v>1178</v>
      </c>
    </row>
    <row r="371" ht="15.75" customHeight="1">
      <c r="A371" s="18">
        <v>45612.0</v>
      </c>
      <c r="B371" s="16" t="str">
        <f t="shared" si="1"/>
        <v>November</v>
      </c>
      <c r="C371" s="2" t="s">
        <v>9</v>
      </c>
      <c r="D371" s="2" t="str">
        <f t="shared" si="2"/>
        <v>Monterrey</v>
      </c>
      <c r="E371" s="2" t="s">
        <v>66</v>
      </c>
      <c r="F371" s="2" t="str">
        <f>IFERROR(__xludf.DUMMYFUNCTION("SPLIT(E371, ""-"")"),"Tablet")</f>
        <v>Tablet</v>
      </c>
      <c r="G371" s="2" t="str">
        <f>IFERROR(__xludf.DUMMYFUNCTION("""COMPUTED_VALUE"""),"Estándar")</f>
        <v>Estándar</v>
      </c>
      <c r="H371" s="2" t="str">
        <f>IFERROR(__xludf.DUMMYFUNCTION("""COMPUTED_VALUE"""),"4GB")</f>
        <v>4GB</v>
      </c>
      <c r="I371" s="17">
        <v>1203.93</v>
      </c>
      <c r="J371" s="6">
        <v>4.0</v>
      </c>
      <c r="K371" s="17">
        <v>4815.72</v>
      </c>
      <c r="L371" s="2" t="s">
        <v>1179</v>
      </c>
      <c r="M371" s="2" t="s">
        <v>1180</v>
      </c>
      <c r="N371" s="2" t="s">
        <v>1181</v>
      </c>
    </row>
    <row r="372" ht="15.75" customHeight="1">
      <c r="A372" s="18">
        <v>45612.0</v>
      </c>
      <c r="B372" s="16" t="str">
        <f t="shared" si="1"/>
        <v>November</v>
      </c>
      <c r="C372" s="2" t="s">
        <v>34</v>
      </c>
      <c r="D372" s="2" t="str">
        <f t="shared" si="2"/>
        <v>Medellín</v>
      </c>
      <c r="E372" s="2" t="s">
        <v>58</v>
      </c>
      <c r="F372" s="2" t="str">
        <f>IFERROR(__xludf.DUMMYFUNCTION("SPLIT(E372, ""-"")"),"Auriculares")</f>
        <v>Auriculares</v>
      </c>
      <c r="G372" s="2" t="str">
        <f>IFERROR(__xludf.DUMMYFUNCTION("""COMPUTED_VALUE"""),"Bluetooth")</f>
        <v>Bluetooth</v>
      </c>
      <c r="H372" s="2" t="str">
        <f>IFERROR(__xludf.DUMMYFUNCTION("""COMPUTED_VALUE"""),"4GB")</f>
        <v>4GB</v>
      </c>
      <c r="I372" s="17">
        <v>1441.97</v>
      </c>
      <c r="J372" s="6">
        <v>3.0</v>
      </c>
      <c r="K372" s="17">
        <v>4325.91</v>
      </c>
      <c r="L372" s="2" t="s">
        <v>1182</v>
      </c>
      <c r="M372" s="2" t="s">
        <v>1183</v>
      </c>
      <c r="N372" s="2" t="s">
        <v>1184</v>
      </c>
    </row>
    <row r="373" ht="15.75" customHeight="1">
      <c r="A373" s="18">
        <v>45612.0</v>
      </c>
      <c r="B373" s="16" t="str">
        <f t="shared" si="1"/>
        <v>November</v>
      </c>
      <c r="C373" s="2" t="s">
        <v>14</v>
      </c>
      <c r="D373" s="2" t="str">
        <f t="shared" si="2"/>
        <v>Bogotá</v>
      </c>
      <c r="E373" s="2" t="s">
        <v>62</v>
      </c>
      <c r="F373" s="2" t="str">
        <f>IFERROR(__xludf.DUMMYFUNCTION("SPLIT(E373, ""-"")"),"Laptop")</f>
        <v>Laptop</v>
      </c>
      <c r="G373" s="2" t="str">
        <f>IFERROR(__xludf.DUMMYFUNCTION("""COMPUTED_VALUE"""),"Ultraliviana")</f>
        <v>Ultraliviana</v>
      </c>
      <c r="H373" s="2" t="str">
        <f>IFERROR(__xludf.DUMMYFUNCTION("""COMPUTED_VALUE"""),"4GB")</f>
        <v>4GB</v>
      </c>
      <c r="I373" s="17">
        <v>992.95</v>
      </c>
      <c r="J373" s="6">
        <v>3.0</v>
      </c>
      <c r="K373" s="17">
        <v>2978.85</v>
      </c>
      <c r="L373" s="2" t="s">
        <v>1185</v>
      </c>
      <c r="M373" s="2" t="s">
        <v>1186</v>
      </c>
      <c r="N373" s="2" t="s">
        <v>1187</v>
      </c>
    </row>
    <row r="374" ht="15.75" customHeight="1">
      <c r="A374" s="18">
        <v>45612.0</v>
      </c>
      <c r="B374" s="16" t="str">
        <f t="shared" si="1"/>
        <v>November</v>
      </c>
      <c r="C374" s="2" t="s">
        <v>34</v>
      </c>
      <c r="D374" s="2" t="str">
        <f t="shared" si="2"/>
        <v>Medellín</v>
      </c>
      <c r="E374" s="2" t="s">
        <v>662</v>
      </c>
      <c r="F374" s="2" t="str">
        <f>IFERROR(__xludf.DUMMYFUNCTION("SPLIT(E374, ""-"")"),"Auriculares")</f>
        <v>Auriculares</v>
      </c>
      <c r="G374" s="2" t="str">
        <f>IFERROR(__xludf.DUMMYFUNCTION("""COMPUTED_VALUE"""),"Cancelación de ruido")</f>
        <v>Cancelación de ruido</v>
      </c>
      <c r="H374" s="2" t="str">
        <f>IFERROR(__xludf.DUMMYFUNCTION("""COMPUTED_VALUE"""),"32GB")</f>
        <v>32GB</v>
      </c>
      <c r="I374" s="17">
        <v>456.65</v>
      </c>
      <c r="J374" s="6">
        <v>2.0</v>
      </c>
      <c r="K374" s="17">
        <v>913.3</v>
      </c>
      <c r="L374" s="2" t="s">
        <v>1188</v>
      </c>
      <c r="M374" s="2" t="s">
        <v>1189</v>
      </c>
      <c r="N374" s="2" t="s">
        <v>1190</v>
      </c>
    </row>
    <row r="375" ht="15.75" customHeight="1">
      <c r="A375" s="18">
        <v>45613.0</v>
      </c>
      <c r="B375" s="16" t="str">
        <f t="shared" si="1"/>
        <v>November</v>
      </c>
      <c r="C375" s="2" t="s">
        <v>34</v>
      </c>
      <c r="D375" s="2" t="str">
        <f t="shared" si="2"/>
        <v>Medellín</v>
      </c>
      <c r="E375" s="2" t="s">
        <v>834</v>
      </c>
      <c r="F375" s="2" t="str">
        <f>IFERROR(__xludf.DUMMYFUNCTION("SPLIT(E375, ""-"")"),"Teléfono")</f>
        <v>Teléfono</v>
      </c>
      <c r="G375" s="2" t="str">
        <f>IFERROR(__xludf.DUMMYFUNCTION("""COMPUTED_VALUE"""),"Gama alta")</f>
        <v>Gama alta</v>
      </c>
      <c r="H375" s="2" t="str">
        <f>IFERROR(__xludf.DUMMYFUNCTION("""COMPUTED_VALUE"""),"32GB ")</f>
        <v>32GB </v>
      </c>
      <c r="I375" s="17">
        <v>2405.31</v>
      </c>
      <c r="J375" s="6">
        <v>5.0</v>
      </c>
      <c r="K375" s="20">
        <f>I375*J375</f>
        <v>12026.55</v>
      </c>
      <c r="L375" s="2" t="s">
        <v>1191</v>
      </c>
      <c r="M375" s="2" t="s">
        <v>1192</v>
      </c>
      <c r="N375" s="2" t="s">
        <v>1193</v>
      </c>
    </row>
    <row r="376" ht="15.75" customHeight="1">
      <c r="A376" s="18">
        <v>45613.0</v>
      </c>
      <c r="B376" s="16" t="str">
        <f t="shared" si="1"/>
        <v>November</v>
      </c>
      <c r="C376" s="2" t="s">
        <v>74</v>
      </c>
      <c r="D376" s="2" t="str">
        <f t="shared" si="2"/>
        <v>Cali</v>
      </c>
      <c r="E376" s="2" t="s">
        <v>15</v>
      </c>
      <c r="F376" s="2" t="str">
        <f>IFERROR(__xludf.DUMMYFUNCTION("SPLIT(E376, ""-"")"),"Auriculares")</f>
        <v>Auriculares</v>
      </c>
      <c r="G376" s="2" t="str">
        <f>IFERROR(__xludf.DUMMYFUNCTION("""COMPUTED_VALUE"""),"Con cable")</f>
        <v>Con cable</v>
      </c>
      <c r="H376" s="2" t="str">
        <f>IFERROR(__xludf.DUMMYFUNCTION("""COMPUTED_VALUE"""),"32GB")</f>
        <v>32GB</v>
      </c>
      <c r="I376" s="17">
        <v>793.37</v>
      </c>
      <c r="J376" s="6">
        <v>2.0</v>
      </c>
      <c r="K376" s="17">
        <v>1586.74</v>
      </c>
      <c r="L376" s="2" t="s">
        <v>1194</v>
      </c>
      <c r="M376" s="2" t="s">
        <v>1195</v>
      </c>
      <c r="N376" s="2" t="s">
        <v>1196</v>
      </c>
    </row>
    <row r="377" ht="15.75" customHeight="1">
      <c r="A377" s="18">
        <v>45613.0</v>
      </c>
      <c r="B377" s="16" t="str">
        <f t="shared" si="1"/>
        <v>November</v>
      </c>
      <c r="C377" s="2" t="s">
        <v>74</v>
      </c>
      <c r="D377" s="2" t="str">
        <f t="shared" si="2"/>
        <v>Cali</v>
      </c>
      <c r="E377" s="2" t="s">
        <v>75</v>
      </c>
      <c r="F377" s="2" t="str">
        <f>IFERROR(__xludf.DUMMYFUNCTION("SPLIT(E377, ""-"")"),"Tablet")</f>
        <v>Tablet</v>
      </c>
      <c r="G377" s="2" t="str">
        <f>IFERROR(__xludf.DUMMYFUNCTION("""COMPUTED_VALUE"""),"Mini")</f>
        <v>Mini</v>
      </c>
      <c r="H377" s="2" t="str">
        <f>IFERROR(__xludf.DUMMYFUNCTION("""COMPUTED_VALUE"""),"32GB")</f>
        <v>32GB</v>
      </c>
      <c r="I377" s="17">
        <v>2030.7</v>
      </c>
      <c r="J377" s="6">
        <v>2.0</v>
      </c>
      <c r="K377" s="17">
        <v>4061.4</v>
      </c>
      <c r="L377" s="2" t="s">
        <v>1197</v>
      </c>
      <c r="M377" s="2" t="s">
        <v>1198</v>
      </c>
      <c r="N377" s="2" t="s">
        <v>1199</v>
      </c>
    </row>
    <row r="378" ht="15.75" customHeight="1">
      <c r="A378" s="18">
        <v>45613.0</v>
      </c>
      <c r="B378" s="16" t="str">
        <f t="shared" si="1"/>
        <v>November</v>
      </c>
      <c r="C378" s="2" t="s">
        <v>74</v>
      </c>
      <c r="D378" s="2" t="str">
        <f t="shared" si="2"/>
        <v>Cali</v>
      </c>
      <c r="E378" s="2" t="s">
        <v>92</v>
      </c>
      <c r="F378" s="2" t="str">
        <f>IFERROR(__xludf.DUMMYFUNCTION("SPLIT(E378, ""-"")"),"Tablet")</f>
        <v>Tablet</v>
      </c>
      <c r="G378" s="2" t="str">
        <f>IFERROR(__xludf.DUMMYFUNCTION("""COMPUTED_VALUE"""),"Mini")</f>
        <v>Mini</v>
      </c>
      <c r="H378" s="2" t="str">
        <f>IFERROR(__xludf.DUMMYFUNCTION("""COMPUTED_VALUE"""),"8GB")</f>
        <v>8GB</v>
      </c>
      <c r="I378" s="17">
        <v>2127.13</v>
      </c>
      <c r="J378" s="6">
        <v>1.0</v>
      </c>
      <c r="K378" s="17">
        <v>2127.13</v>
      </c>
      <c r="L378" s="2" t="s">
        <v>1200</v>
      </c>
      <c r="M378" s="2" t="s">
        <v>1201</v>
      </c>
      <c r="N378" s="2" t="s">
        <v>1202</v>
      </c>
    </row>
    <row r="379" ht="15.75" customHeight="1">
      <c r="A379" s="18">
        <v>45613.0</v>
      </c>
      <c r="B379" s="16" t="str">
        <f t="shared" si="1"/>
        <v>November</v>
      </c>
      <c r="C379" s="3" t="s">
        <v>29</v>
      </c>
      <c r="D379" s="2" t="str">
        <f t="shared" si="2"/>
        <v>Ciudad De Mexico</v>
      </c>
      <c r="E379" s="2" t="s">
        <v>386</v>
      </c>
      <c r="F379" s="2" t="str">
        <f>IFERROR(__xludf.DUMMYFUNCTION("SPLIT(E379, ""-"")"),"Auriculares")</f>
        <v>Auriculares</v>
      </c>
      <c r="G379" s="2" t="str">
        <f>IFERROR(__xludf.DUMMYFUNCTION("""COMPUTED_VALUE"""),"Cancelación de ruido")</f>
        <v>Cancelación de ruido</v>
      </c>
      <c r="H379" s="2" t="str">
        <f>IFERROR(__xludf.DUMMYFUNCTION("""COMPUTED_VALUE"""),"4GB")</f>
        <v>4GB</v>
      </c>
      <c r="I379" s="17">
        <v>2255.29</v>
      </c>
      <c r="J379" s="6">
        <v>3.0</v>
      </c>
      <c r="K379" s="17">
        <v>6765.87</v>
      </c>
      <c r="L379" s="2" t="s">
        <v>1203</v>
      </c>
      <c r="M379" s="2" t="s">
        <v>1204</v>
      </c>
      <c r="N379" s="2" t="s">
        <v>1205</v>
      </c>
    </row>
    <row r="380" ht="15.75" customHeight="1">
      <c r="A380" s="18">
        <v>45613.0</v>
      </c>
      <c r="B380" s="16" t="str">
        <f t="shared" si="1"/>
        <v>November</v>
      </c>
      <c r="C380" s="2" t="s">
        <v>74</v>
      </c>
      <c r="D380" s="2" t="str">
        <f t="shared" si="2"/>
        <v>Cali</v>
      </c>
      <c r="E380" s="2" t="s">
        <v>66</v>
      </c>
      <c r="F380" s="2" t="str">
        <f>IFERROR(__xludf.DUMMYFUNCTION("SPLIT(E380, ""-"")"),"Tablet")</f>
        <v>Tablet</v>
      </c>
      <c r="G380" s="2" t="str">
        <f>IFERROR(__xludf.DUMMYFUNCTION("""COMPUTED_VALUE"""),"Estándar")</f>
        <v>Estándar</v>
      </c>
      <c r="H380" s="2" t="str">
        <f>IFERROR(__xludf.DUMMYFUNCTION("""COMPUTED_VALUE"""),"4GB")</f>
        <v>4GB</v>
      </c>
      <c r="I380" s="17">
        <v>808.48</v>
      </c>
      <c r="J380" s="6">
        <v>4.0</v>
      </c>
      <c r="K380" s="17">
        <v>3233.92</v>
      </c>
      <c r="L380" s="2" t="s">
        <v>1206</v>
      </c>
      <c r="M380" s="2" t="s">
        <v>1207</v>
      </c>
      <c r="N380" s="2" t="s">
        <v>1208</v>
      </c>
    </row>
    <row r="381" ht="15.75" customHeight="1">
      <c r="A381" s="18">
        <v>45613.0</v>
      </c>
      <c r="B381" s="16" t="str">
        <f t="shared" si="1"/>
        <v>November</v>
      </c>
      <c r="C381" s="2" t="s">
        <v>14</v>
      </c>
      <c r="D381" s="2" t="str">
        <f t="shared" si="2"/>
        <v>Bogotá</v>
      </c>
      <c r="E381" s="2" t="s">
        <v>10</v>
      </c>
      <c r="F381" s="2" t="str">
        <f>IFERROR(__xludf.DUMMYFUNCTION("SPLIT(E381, ""-"")"),"Tablet")</f>
        <v>Tablet</v>
      </c>
      <c r="G381" s="2" t="str">
        <f>IFERROR(__xludf.DUMMYFUNCTION("""COMPUTED_VALUE"""),"Estándar")</f>
        <v>Estándar</v>
      </c>
      <c r="H381" s="2" t="str">
        <f>IFERROR(__xludf.DUMMYFUNCTION("""COMPUTED_VALUE"""),"8GB")</f>
        <v>8GB</v>
      </c>
      <c r="I381" s="17">
        <v>2142.82</v>
      </c>
      <c r="J381" s="6">
        <v>2.0</v>
      </c>
      <c r="K381" s="17">
        <v>4285.64</v>
      </c>
      <c r="L381" s="2" t="s">
        <v>1209</v>
      </c>
      <c r="M381" s="2" t="s">
        <v>1210</v>
      </c>
      <c r="N381" s="2" t="s">
        <v>1211</v>
      </c>
    </row>
    <row r="382" ht="15.75" customHeight="1">
      <c r="A382" s="18">
        <v>45613.0</v>
      </c>
      <c r="B382" s="16" t="str">
        <f t="shared" si="1"/>
        <v>November</v>
      </c>
      <c r="C382" s="2" t="s">
        <v>57</v>
      </c>
      <c r="D382" s="2" t="str">
        <f t="shared" si="2"/>
        <v>Guadalajara</v>
      </c>
      <c r="E382" s="2" t="s">
        <v>119</v>
      </c>
      <c r="F382" s="2" t="str">
        <f>IFERROR(__xludf.DUMMYFUNCTION("SPLIT(E382, ""-"")"),"Teléfono")</f>
        <v>Teléfono</v>
      </c>
      <c r="G382" s="2" t="str">
        <f>IFERROR(__xludf.DUMMYFUNCTION("""COMPUTED_VALUE"""),"Gama alta")</f>
        <v>Gama alta</v>
      </c>
      <c r="H382" s="2" t="str">
        <f>IFERROR(__xludf.DUMMYFUNCTION("""COMPUTED_VALUE"""),"8GB")</f>
        <v>8GB</v>
      </c>
      <c r="I382" s="17">
        <v>219.68</v>
      </c>
      <c r="J382" s="6">
        <v>4.0</v>
      </c>
      <c r="K382" s="17">
        <v>878.72</v>
      </c>
      <c r="L382" s="2" t="s">
        <v>1212</v>
      </c>
      <c r="M382" s="2" t="s">
        <v>1213</v>
      </c>
      <c r="N382" s="2" t="s">
        <v>1214</v>
      </c>
    </row>
    <row r="383" ht="15.75" customHeight="1">
      <c r="A383" s="18">
        <v>45613.0</v>
      </c>
      <c r="B383" s="16" t="str">
        <f t="shared" si="1"/>
        <v>November</v>
      </c>
      <c r="C383" s="3" t="s">
        <v>29</v>
      </c>
      <c r="D383" s="2" t="str">
        <f t="shared" si="2"/>
        <v>Ciudad De Mexico</v>
      </c>
      <c r="E383" s="2" t="s">
        <v>341</v>
      </c>
      <c r="F383" s="2" t="str">
        <f>IFERROR(__xludf.DUMMYFUNCTION("SPLIT(E383, ""-"")"),"Laptop")</f>
        <v>Laptop</v>
      </c>
      <c r="G383" s="2" t="str">
        <f>IFERROR(__xludf.DUMMYFUNCTION("""COMPUTED_VALUE"""),"Ultraliviana")</f>
        <v>Ultraliviana</v>
      </c>
      <c r="H383" s="2" t="str">
        <f>IFERROR(__xludf.DUMMYFUNCTION("""COMPUTED_VALUE"""),"8GB")</f>
        <v>8GB</v>
      </c>
      <c r="I383" s="17">
        <v>2269.51</v>
      </c>
      <c r="J383" s="6">
        <v>3.0</v>
      </c>
      <c r="K383" s="17">
        <v>6808.53</v>
      </c>
      <c r="L383" s="2" t="s">
        <v>1215</v>
      </c>
      <c r="M383" s="2" t="s">
        <v>1216</v>
      </c>
      <c r="N383" s="2" t="s">
        <v>1217</v>
      </c>
    </row>
    <row r="384" ht="15.75" customHeight="1">
      <c r="A384" s="18">
        <v>45613.0</v>
      </c>
      <c r="B384" s="16" t="str">
        <f t="shared" si="1"/>
        <v>November</v>
      </c>
      <c r="C384" s="2" t="s">
        <v>74</v>
      </c>
      <c r="D384" s="2" t="str">
        <f t="shared" si="2"/>
        <v>Cali</v>
      </c>
      <c r="E384" s="2" t="s">
        <v>161</v>
      </c>
      <c r="F384" s="2" t="str">
        <f>IFERROR(__xludf.DUMMYFUNCTION("SPLIT(E384, ""-"")"),"Laptop")</f>
        <v>Laptop</v>
      </c>
      <c r="G384" s="2" t="str">
        <f>IFERROR(__xludf.DUMMYFUNCTION("""COMPUTED_VALUE"""),"Oficina")</f>
        <v>Oficina</v>
      </c>
      <c r="H384" s="2" t="str">
        <f>IFERROR(__xludf.DUMMYFUNCTION("""COMPUTED_VALUE"""),"32GB")</f>
        <v>32GB</v>
      </c>
      <c r="I384" s="17">
        <v>2002.21</v>
      </c>
      <c r="J384" s="6">
        <v>3.0</v>
      </c>
      <c r="K384" s="17">
        <v>6006.63</v>
      </c>
      <c r="L384" s="2" t="s">
        <v>1218</v>
      </c>
      <c r="M384" s="2" t="s">
        <v>1219</v>
      </c>
      <c r="N384" s="2" t="s">
        <v>1220</v>
      </c>
    </row>
    <row r="385" ht="15.75" customHeight="1">
      <c r="A385" s="18">
        <v>45613.0</v>
      </c>
      <c r="B385" s="16" t="str">
        <f t="shared" si="1"/>
        <v>November</v>
      </c>
      <c r="C385" s="3" t="s">
        <v>29</v>
      </c>
      <c r="D385" s="2" t="str">
        <f t="shared" si="2"/>
        <v>Ciudad De Mexico</v>
      </c>
      <c r="E385" s="2" t="s">
        <v>396</v>
      </c>
      <c r="F385" s="2" t="str">
        <f>IFERROR(__xludf.DUMMYFUNCTION("SPLIT(E385, ""-"")"),"Laptop")</f>
        <v>Laptop</v>
      </c>
      <c r="G385" s="2" t="str">
        <f>IFERROR(__xludf.DUMMYFUNCTION("""COMPUTED_VALUE"""),"Gaming")</f>
        <v>Gaming</v>
      </c>
      <c r="H385" s="2" t="str">
        <f>IFERROR(__xludf.DUMMYFUNCTION("""COMPUTED_VALUE"""),"4GB")</f>
        <v>4GB</v>
      </c>
      <c r="I385" s="17">
        <v>877.11</v>
      </c>
      <c r="J385" s="6">
        <v>1.0</v>
      </c>
      <c r="K385" s="17">
        <v>877.11</v>
      </c>
      <c r="L385" s="2" t="s">
        <v>1221</v>
      </c>
      <c r="M385" s="2" t="s">
        <v>1222</v>
      </c>
      <c r="N385" s="2" t="s">
        <v>1223</v>
      </c>
    </row>
    <row r="386" ht="15.75" customHeight="1">
      <c r="A386" s="18">
        <v>45613.0</v>
      </c>
      <c r="B386" s="16" t="str">
        <f t="shared" si="1"/>
        <v>November</v>
      </c>
      <c r="C386" s="3" t="s">
        <v>29</v>
      </c>
      <c r="D386" s="2" t="str">
        <f t="shared" si="2"/>
        <v>Ciudad De Mexico</v>
      </c>
      <c r="E386" s="2" t="s">
        <v>230</v>
      </c>
      <c r="F386" s="2" t="str">
        <f>IFERROR(__xludf.DUMMYFUNCTION("SPLIT(E386, ""-"")"),"Tablet")</f>
        <v>Tablet</v>
      </c>
      <c r="G386" s="2" t="str">
        <f>IFERROR(__xludf.DUMMYFUNCTION("""COMPUTED_VALUE"""),"Mini")</f>
        <v>Mini</v>
      </c>
      <c r="H386" s="2" t="str">
        <f>IFERROR(__xludf.DUMMYFUNCTION("""COMPUTED_VALUE"""),"16GB")</f>
        <v>16GB</v>
      </c>
      <c r="I386" s="17">
        <v>304.68</v>
      </c>
      <c r="J386" s="6">
        <v>5.0</v>
      </c>
      <c r="K386" s="17">
        <v>1523.4</v>
      </c>
      <c r="L386" s="2" t="s">
        <v>1224</v>
      </c>
      <c r="M386" s="2" t="s">
        <v>1225</v>
      </c>
      <c r="N386" s="2" t="s">
        <v>1226</v>
      </c>
    </row>
    <row r="387" ht="15.75" customHeight="1">
      <c r="A387" s="18">
        <v>45614.0</v>
      </c>
      <c r="B387" s="16" t="str">
        <f t="shared" si="1"/>
        <v>November</v>
      </c>
      <c r="C387" s="2" t="s">
        <v>57</v>
      </c>
      <c r="D387" s="2" t="str">
        <f t="shared" si="2"/>
        <v>Guadalajara</v>
      </c>
      <c r="E387" s="2" t="s">
        <v>183</v>
      </c>
      <c r="F387" s="2" t="str">
        <f>IFERROR(__xludf.DUMMYFUNCTION("SPLIT(E387, ""-"")"),"Auriculares")</f>
        <v>Auriculares</v>
      </c>
      <c r="G387" s="2" t="str">
        <f>IFERROR(__xludf.DUMMYFUNCTION("""COMPUTED_VALUE"""),"Cancelaci√≥n de ruido")</f>
        <v>Cancelaci√≥n de ruido</v>
      </c>
      <c r="H387" s="2" t="str">
        <f>IFERROR(__xludf.DUMMYFUNCTION("""COMPUTED_VALUE"""),"16GB")</f>
        <v>16GB</v>
      </c>
      <c r="I387" s="17">
        <v>1533.19</v>
      </c>
      <c r="J387" s="6">
        <v>4.0</v>
      </c>
      <c r="K387" s="17">
        <v>6132.76</v>
      </c>
      <c r="L387" s="2" t="s">
        <v>1227</v>
      </c>
      <c r="M387" s="2" t="s">
        <v>1228</v>
      </c>
      <c r="N387" s="2" t="s">
        <v>1229</v>
      </c>
    </row>
    <row r="388" ht="15.75" customHeight="1">
      <c r="A388" s="18">
        <v>45614.0</v>
      </c>
      <c r="B388" s="16" t="str">
        <f t="shared" si="1"/>
        <v>November</v>
      </c>
      <c r="C388" s="2" t="s">
        <v>9</v>
      </c>
      <c r="D388" s="2" t="str">
        <f t="shared" si="2"/>
        <v>Monterrey</v>
      </c>
      <c r="E388" s="2" t="s">
        <v>15</v>
      </c>
      <c r="F388" s="2" t="str">
        <f>IFERROR(__xludf.DUMMYFUNCTION("SPLIT(E388, ""-"")"),"Auriculares")</f>
        <v>Auriculares</v>
      </c>
      <c r="G388" s="2" t="str">
        <f>IFERROR(__xludf.DUMMYFUNCTION("""COMPUTED_VALUE"""),"Con cable")</f>
        <v>Con cable</v>
      </c>
      <c r="H388" s="2" t="str">
        <f>IFERROR(__xludf.DUMMYFUNCTION("""COMPUTED_VALUE"""),"32GB")</f>
        <v>32GB</v>
      </c>
      <c r="I388" s="17">
        <v>1141.13</v>
      </c>
      <c r="J388" s="6">
        <v>3.0</v>
      </c>
      <c r="K388" s="17">
        <v>3423.39</v>
      </c>
      <c r="L388" s="2" t="s">
        <v>1230</v>
      </c>
      <c r="M388" s="2" t="s">
        <v>1231</v>
      </c>
      <c r="N388" s="2" t="s">
        <v>1232</v>
      </c>
    </row>
    <row r="389" ht="15.75" customHeight="1">
      <c r="A389" s="18">
        <v>45614.0</v>
      </c>
      <c r="B389" s="16" t="str">
        <f t="shared" si="1"/>
        <v>November</v>
      </c>
      <c r="C389" s="2" t="s">
        <v>14</v>
      </c>
      <c r="D389" s="2" t="str">
        <f t="shared" si="2"/>
        <v>Bogotá</v>
      </c>
      <c r="E389" s="2" t="s">
        <v>341</v>
      </c>
      <c r="F389" s="2" t="str">
        <f>IFERROR(__xludf.DUMMYFUNCTION("SPLIT(E389, ""-"")"),"Laptop")</f>
        <v>Laptop</v>
      </c>
      <c r="G389" s="2" t="str">
        <f>IFERROR(__xludf.DUMMYFUNCTION("""COMPUTED_VALUE"""),"Ultraliviana")</f>
        <v>Ultraliviana</v>
      </c>
      <c r="H389" s="2" t="str">
        <f>IFERROR(__xludf.DUMMYFUNCTION("""COMPUTED_VALUE"""),"8GB")</f>
        <v>8GB</v>
      </c>
      <c r="I389" s="17">
        <v>890.76</v>
      </c>
      <c r="J389" s="6">
        <v>2.0</v>
      </c>
      <c r="K389" s="17">
        <v>1781.52</v>
      </c>
      <c r="L389" s="2" t="s">
        <v>1233</v>
      </c>
      <c r="M389" s="2" t="s">
        <v>1234</v>
      </c>
      <c r="N389" s="2" t="s">
        <v>1235</v>
      </c>
    </row>
    <row r="390" ht="15.75" customHeight="1">
      <c r="A390" s="18">
        <v>45614.0</v>
      </c>
      <c r="B390" s="16" t="str">
        <f t="shared" si="1"/>
        <v>November</v>
      </c>
      <c r="C390" s="2" t="s">
        <v>9</v>
      </c>
      <c r="D390" s="2" t="str">
        <f t="shared" si="2"/>
        <v>Monterrey</v>
      </c>
      <c r="E390" s="2" t="s">
        <v>662</v>
      </c>
      <c r="F390" s="2" t="str">
        <f>IFERROR(__xludf.DUMMYFUNCTION("SPLIT(E390, ""-"")"),"Auriculares")</f>
        <v>Auriculares</v>
      </c>
      <c r="G390" s="2" t="str">
        <f>IFERROR(__xludf.DUMMYFUNCTION("""COMPUTED_VALUE"""),"Cancelación de ruido")</f>
        <v>Cancelación de ruido</v>
      </c>
      <c r="H390" s="2" t="str">
        <f>IFERROR(__xludf.DUMMYFUNCTION("""COMPUTED_VALUE"""),"32GB")</f>
        <v>32GB</v>
      </c>
      <c r="I390" s="17">
        <v>1307.54</v>
      </c>
      <c r="J390" s="6">
        <v>1.0</v>
      </c>
      <c r="K390" s="17">
        <v>1307.54</v>
      </c>
      <c r="L390" s="2" t="s">
        <v>1236</v>
      </c>
      <c r="M390" s="2" t="s">
        <v>1237</v>
      </c>
      <c r="N390" s="2" t="s">
        <v>1238</v>
      </c>
    </row>
    <row r="391" ht="15.75" customHeight="1">
      <c r="A391" s="18">
        <v>45614.0</v>
      </c>
      <c r="B391" s="16" t="str">
        <f t="shared" si="1"/>
        <v>November</v>
      </c>
      <c r="C391" s="2" t="s">
        <v>14</v>
      </c>
      <c r="D391" s="2" t="str">
        <f t="shared" si="2"/>
        <v>Bogotá</v>
      </c>
      <c r="E391" s="2" t="s">
        <v>10</v>
      </c>
      <c r="F391" s="2" t="str">
        <f>IFERROR(__xludf.DUMMYFUNCTION("SPLIT(E391, ""-"")"),"Tablet")</f>
        <v>Tablet</v>
      </c>
      <c r="G391" s="2" t="str">
        <f>IFERROR(__xludf.DUMMYFUNCTION("""COMPUTED_VALUE"""),"Estándar")</f>
        <v>Estándar</v>
      </c>
      <c r="H391" s="2" t="str">
        <f>IFERROR(__xludf.DUMMYFUNCTION("""COMPUTED_VALUE"""),"8GB")</f>
        <v>8GB</v>
      </c>
      <c r="I391" s="17">
        <v>1178.53</v>
      </c>
      <c r="J391" s="6">
        <v>2.0</v>
      </c>
      <c r="K391" s="17">
        <v>2357.06</v>
      </c>
      <c r="L391" s="2" t="s">
        <v>1239</v>
      </c>
      <c r="M391" s="2" t="s">
        <v>1240</v>
      </c>
      <c r="N391" s="2" t="s">
        <v>1241</v>
      </c>
    </row>
    <row r="392" ht="15.75" customHeight="1">
      <c r="A392" s="18">
        <v>45614.0</v>
      </c>
      <c r="B392" s="16" t="str">
        <f t="shared" si="1"/>
        <v>November</v>
      </c>
      <c r="C392" s="2" t="s">
        <v>74</v>
      </c>
      <c r="D392" s="2" t="str">
        <f t="shared" si="2"/>
        <v>Cali</v>
      </c>
      <c r="E392" s="2" t="s">
        <v>252</v>
      </c>
      <c r="F392" s="2" t="str">
        <f>IFERROR(__xludf.DUMMYFUNCTION("SPLIT(E392, ""-"")"),"Auriculares")</f>
        <v>Auriculares</v>
      </c>
      <c r="G392" s="2" t="str">
        <f>IFERROR(__xludf.DUMMYFUNCTION("""COMPUTED_VALUE"""),"Bluetooth")</f>
        <v>Bluetooth</v>
      </c>
      <c r="H392" s="2" t="str">
        <f>IFERROR(__xludf.DUMMYFUNCTION("""COMPUTED_VALUE"""),"8GB")</f>
        <v>8GB</v>
      </c>
      <c r="I392" s="17">
        <v>1217.56</v>
      </c>
      <c r="J392" s="6">
        <v>3.0</v>
      </c>
      <c r="K392" s="17">
        <v>3652.68</v>
      </c>
      <c r="L392" s="2" t="s">
        <v>1242</v>
      </c>
      <c r="M392" s="2" t="s">
        <v>1243</v>
      </c>
      <c r="N392" s="2" t="s">
        <v>1244</v>
      </c>
    </row>
    <row r="393" ht="15.75" customHeight="1">
      <c r="A393" s="18">
        <v>45614.0</v>
      </c>
      <c r="B393" s="16" t="str">
        <f t="shared" si="1"/>
        <v>November</v>
      </c>
      <c r="C393" s="2" t="s">
        <v>14</v>
      </c>
      <c r="D393" s="2" t="str">
        <f t="shared" si="2"/>
        <v>Bogotá</v>
      </c>
      <c r="E393" s="2" t="s">
        <v>75</v>
      </c>
      <c r="F393" s="2" t="str">
        <f>IFERROR(__xludf.DUMMYFUNCTION("SPLIT(E393, ""-"")"),"Tablet")</f>
        <v>Tablet</v>
      </c>
      <c r="G393" s="2" t="str">
        <f>IFERROR(__xludf.DUMMYFUNCTION("""COMPUTED_VALUE"""),"Mini")</f>
        <v>Mini</v>
      </c>
      <c r="H393" s="2" t="str">
        <f>IFERROR(__xludf.DUMMYFUNCTION("""COMPUTED_VALUE"""),"32GB")</f>
        <v>32GB</v>
      </c>
      <c r="I393" s="17">
        <v>2191.24</v>
      </c>
      <c r="J393" s="6">
        <v>5.0</v>
      </c>
      <c r="K393" s="17">
        <v>10956.2</v>
      </c>
      <c r="L393" s="2" t="s">
        <v>1245</v>
      </c>
      <c r="M393" s="2" t="s">
        <v>1246</v>
      </c>
      <c r="N393" s="2" t="s">
        <v>1247</v>
      </c>
    </row>
    <row r="394" ht="15.75" customHeight="1">
      <c r="A394" s="18">
        <v>45614.0</v>
      </c>
      <c r="B394" s="16" t="str">
        <f t="shared" si="1"/>
        <v>November</v>
      </c>
      <c r="C394" s="2" t="s">
        <v>14</v>
      </c>
      <c r="D394" s="2" t="str">
        <f t="shared" si="2"/>
        <v>Bogotá</v>
      </c>
      <c r="E394" s="2" t="s">
        <v>370</v>
      </c>
      <c r="F394" s="2" t="str">
        <f>IFERROR(__xludf.DUMMYFUNCTION("SPLIT(E394, ""-"")"),"Teléfono")</f>
        <v>Teléfono</v>
      </c>
      <c r="G394" s="2" t="str">
        <f>IFERROR(__xludf.DUMMYFUNCTION("""COMPUTED_VALUE"""),"Gama media")</f>
        <v>Gama media</v>
      </c>
      <c r="H394" s="2" t="str">
        <f>IFERROR(__xludf.DUMMYFUNCTION("""COMPUTED_VALUE"""),"16GB")</f>
        <v>16GB</v>
      </c>
      <c r="I394" s="17">
        <v>276.58</v>
      </c>
      <c r="J394" s="6">
        <v>1.0</v>
      </c>
      <c r="K394" s="17">
        <v>276.58</v>
      </c>
      <c r="L394" s="2" t="s">
        <v>1248</v>
      </c>
      <c r="M394" s="2" t="s">
        <v>1249</v>
      </c>
      <c r="N394" s="2" t="s">
        <v>1250</v>
      </c>
    </row>
    <row r="395" ht="15.75" customHeight="1">
      <c r="A395" s="18">
        <v>45614.0</v>
      </c>
      <c r="B395" s="16" t="str">
        <f t="shared" si="1"/>
        <v>November</v>
      </c>
      <c r="C395" s="2" t="s">
        <v>14</v>
      </c>
      <c r="D395" s="2" t="str">
        <f t="shared" si="2"/>
        <v>Bogotá</v>
      </c>
      <c r="E395" s="2" t="s">
        <v>58</v>
      </c>
      <c r="F395" s="2" t="str">
        <f>IFERROR(__xludf.DUMMYFUNCTION("SPLIT(E395, ""-"")"),"Auriculares")</f>
        <v>Auriculares</v>
      </c>
      <c r="G395" s="2" t="str">
        <f>IFERROR(__xludf.DUMMYFUNCTION("""COMPUTED_VALUE"""),"Bluetooth")</f>
        <v>Bluetooth</v>
      </c>
      <c r="H395" s="2" t="str">
        <f>IFERROR(__xludf.DUMMYFUNCTION("""COMPUTED_VALUE"""),"4GB")</f>
        <v>4GB</v>
      </c>
      <c r="I395" s="17">
        <v>2426.87</v>
      </c>
      <c r="J395" s="6">
        <v>5.0</v>
      </c>
      <c r="K395" s="17">
        <v>12134.35</v>
      </c>
      <c r="L395" s="2" t="s">
        <v>1251</v>
      </c>
      <c r="M395" s="2" t="s">
        <v>1252</v>
      </c>
      <c r="N395" s="2" t="s">
        <v>1253</v>
      </c>
    </row>
    <row r="396" ht="15.75" customHeight="1">
      <c r="A396" s="18">
        <v>45615.0</v>
      </c>
      <c r="B396" s="16" t="str">
        <f t="shared" si="1"/>
        <v>November</v>
      </c>
      <c r="C396" s="2" t="s">
        <v>9</v>
      </c>
      <c r="D396" s="2" t="str">
        <f t="shared" si="2"/>
        <v>Monterrey</v>
      </c>
      <c r="E396" s="2" t="s">
        <v>62</v>
      </c>
      <c r="F396" s="2" t="str">
        <f>IFERROR(__xludf.DUMMYFUNCTION("SPLIT(E396, ""-"")"),"Laptop")</f>
        <v>Laptop</v>
      </c>
      <c r="G396" s="2" t="str">
        <f>IFERROR(__xludf.DUMMYFUNCTION("""COMPUTED_VALUE"""),"Ultraliviana")</f>
        <v>Ultraliviana</v>
      </c>
      <c r="H396" s="2" t="str">
        <f>IFERROR(__xludf.DUMMYFUNCTION("""COMPUTED_VALUE"""),"4GB")</f>
        <v>4GB</v>
      </c>
      <c r="I396" s="17">
        <v>1077.1</v>
      </c>
      <c r="J396" s="6">
        <v>5.0</v>
      </c>
      <c r="K396" s="17">
        <v>5385.5</v>
      </c>
      <c r="L396" s="2" t="s">
        <v>1254</v>
      </c>
      <c r="M396" s="2" t="s">
        <v>1255</v>
      </c>
      <c r="N396" s="2" t="s">
        <v>1256</v>
      </c>
    </row>
    <row r="397" ht="15.75" customHeight="1">
      <c r="A397" s="18">
        <v>45615.0</v>
      </c>
      <c r="B397" s="16" t="str">
        <f t="shared" si="1"/>
        <v>November</v>
      </c>
      <c r="C397" s="3" t="s">
        <v>29</v>
      </c>
      <c r="D397" s="2" t="str">
        <f t="shared" si="2"/>
        <v>Ciudad De Mexico</v>
      </c>
      <c r="E397" s="2" t="s">
        <v>183</v>
      </c>
      <c r="F397" s="2" t="str">
        <f>IFERROR(__xludf.DUMMYFUNCTION("SPLIT(E397, ""-"")"),"Auriculares")</f>
        <v>Auriculares</v>
      </c>
      <c r="G397" s="2" t="str">
        <f>IFERROR(__xludf.DUMMYFUNCTION("""COMPUTED_VALUE"""),"Cancelaci√≥n de ruido")</f>
        <v>Cancelaci√≥n de ruido</v>
      </c>
      <c r="H397" s="2" t="str">
        <f>IFERROR(__xludf.DUMMYFUNCTION("""COMPUTED_VALUE"""),"16GB")</f>
        <v>16GB</v>
      </c>
      <c r="I397" s="17">
        <v>920.68</v>
      </c>
      <c r="J397" s="6">
        <v>3.0</v>
      </c>
      <c r="K397" s="17">
        <v>2762.04</v>
      </c>
      <c r="L397" s="2" t="s">
        <v>1257</v>
      </c>
      <c r="M397" s="2" t="s">
        <v>1258</v>
      </c>
      <c r="N397" s="2" t="s">
        <v>1259</v>
      </c>
    </row>
    <row r="398" ht="15.75" customHeight="1">
      <c r="A398" s="18">
        <v>45615.0</v>
      </c>
      <c r="B398" s="16" t="str">
        <f t="shared" si="1"/>
        <v>November</v>
      </c>
      <c r="C398" s="2" t="s">
        <v>34</v>
      </c>
      <c r="D398" s="2" t="str">
        <f t="shared" si="2"/>
        <v>Medellín</v>
      </c>
      <c r="E398" s="2" t="s">
        <v>215</v>
      </c>
      <c r="F398" s="2" t="str">
        <f>IFERROR(__xludf.DUMMYFUNCTION("SPLIT(E398, ""-"")"),"Teléfono")</f>
        <v>Teléfono</v>
      </c>
      <c r="G398" s="2" t="str">
        <f>IFERROR(__xludf.DUMMYFUNCTION("""COMPUTED_VALUE"""),"Gama media")</f>
        <v>Gama media</v>
      </c>
      <c r="H398" s="2" t="str">
        <f>IFERROR(__xludf.DUMMYFUNCTION("""COMPUTED_VALUE"""),"4GB")</f>
        <v>4GB</v>
      </c>
      <c r="I398" s="17">
        <v>1620.89</v>
      </c>
      <c r="J398" s="6">
        <v>3.0</v>
      </c>
      <c r="K398" s="17">
        <v>4862.67</v>
      </c>
      <c r="L398" s="2" t="s">
        <v>1260</v>
      </c>
      <c r="M398" s="2" t="s">
        <v>1261</v>
      </c>
      <c r="N398" s="2" t="s">
        <v>1262</v>
      </c>
    </row>
    <row r="399" ht="15.75" customHeight="1">
      <c r="A399" s="18">
        <v>45615.0</v>
      </c>
      <c r="B399" s="16" t="str">
        <f t="shared" si="1"/>
        <v>November</v>
      </c>
      <c r="C399" s="3" t="s">
        <v>29</v>
      </c>
      <c r="D399" s="2" t="str">
        <f t="shared" si="2"/>
        <v>Ciudad De Mexico</v>
      </c>
      <c r="E399" s="2" t="s">
        <v>215</v>
      </c>
      <c r="F399" s="2" t="str">
        <f>IFERROR(__xludf.DUMMYFUNCTION("SPLIT(E399, ""-"")"),"Teléfono")</f>
        <v>Teléfono</v>
      </c>
      <c r="G399" s="2" t="str">
        <f>IFERROR(__xludf.DUMMYFUNCTION("""COMPUTED_VALUE"""),"Gama media")</f>
        <v>Gama media</v>
      </c>
      <c r="H399" s="2" t="str">
        <f>IFERROR(__xludf.DUMMYFUNCTION("""COMPUTED_VALUE"""),"4GB")</f>
        <v>4GB</v>
      </c>
      <c r="I399" s="17">
        <v>653.09</v>
      </c>
      <c r="J399" s="6">
        <v>4.0</v>
      </c>
      <c r="K399" s="17">
        <v>2612.36</v>
      </c>
      <c r="L399" s="2" t="s">
        <v>1263</v>
      </c>
      <c r="M399" s="2" t="s">
        <v>1264</v>
      </c>
      <c r="N399" s="2" t="s">
        <v>1265</v>
      </c>
    </row>
    <row r="400" ht="15.75" customHeight="1">
      <c r="A400" s="18">
        <v>45615.0</v>
      </c>
      <c r="B400" s="16" t="str">
        <f t="shared" si="1"/>
        <v>November</v>
      </c>
      <c r="C400" s="3" t="s">
        <v>29</v>
      </c>
      <c r="D400" s="2" t="str">
        <f t="shared" si="2"/>
        <v>Ciudad De Mexico</v>
      </c>
      <c r="E400" s="2" t="s">
        <v>226</v>
      </c>
      <c r="F400" s="2" t="str">
        <f>IFERROR(__xludf.DUMMYFUNCTION("SPLIT(E400, ""-"")"),"Laptop")</f>
        <v>Laptop</v>
      </c>
      <c r="G400" s="2" t="str">
        <f>IFERROR(__xludf.DUMMYFUNCTION("""COMPUTED_VALUE"""),"Oficina")</f>
        <v>Oficina</v>
      </c>
      <c r="H400" s="2" t="str">
        <f>IFERROR(__xludf.DUMMYFUNCTION("""COMPUTED_VALUE"""),"4GB")</f>
        <v>4GB</v>
      </c>
      <c r="I400" s="17">
        <v>1057.56</v>
      </c>
      <c r="J400" s="6">
        <v>5.0</v>
      </c>
      <c r="K400" s="17">
        <v>5287.8</v>
      </c>
      <c r="L400" s="2" t="s">
        <v>1266</v>
      </c>
      <c r="M400" s="2" t="s">
        <v>1267</v>
      </c>
      <c r="N400" s="2" t="s">
        <v>1268</v>
      </c>
    </row>
    <row r="401" ht="15.75" customHeight="1">
      <c r="A401" s="18">
        <v>45615.0</v>
      </c>
      <c r="B401" s="16" t="str">
        <f t="shared" si="1"/>
        <v>November</v>
      </c>
      <c r="C401" s="2" t="s">
        <v>34</v>
      </c>
      <c r="D401" s="2" t="str">
        <f t="shared" si="2"/>
        <v>Medellín</v>
      </c>
      <c r="E401" s="2" t="s">
        <v>62</v>
      </c>
      <c r="F401" s="2" t="str">
        <f>IFERROR(__xludf.DUMMYFUNCTION("SPLIT(E401, ""-"")"),"Laptop")</f>
        <v>Laptop</v>
      </c>
      <c r="G401" s="2" t="str">
        <f>IFERROR(__xludf.DUMMYFUNCTION("""COMPUTED_VALUE"""),"Ultraliviana")</f>
        <v>Ultraliviana</v>
      </c>
      <c r="H401" s="2" t="str">
        <f>IFERROR(__xludf.DUMMYFUNCTION("""COMPUTED_VALUE"""),"4GB")</f>
        <v>4GB</v>
      </c>
      <c r="I401" s="17">
        <v>1292.9</v>
      </c>
      <c r="J401" s="6">
        <v>2.0</v>
      </c>
      <c r="K401" s="17">
        <v>2585.8</v>
      </c>
      <c r="L401" s="2" t="s">
        <v>1269</v>
      </c>
      <c r="M401" s="2" t="s">
        <v>1270</v>
      </c>
      <c r="N401" s="2" t="s">
        <v>1271</v>
      </c>
    </row>
    <row r="402" ht="15.75" customHeight="1">
      <c r="A402" s="18">
        <v>45615.0</v>
      </c>
      <c r="B402" s="16" t="str">
        <f t="shared" si="1"/>
        <v>November</v>
      </c>
      <c r="C402" s="2" t="s">
        <v>14</v>
      </c>
      <c r="D402" s="2" t="str">
        <f t="shared" si="2"/>
        <v>Bogotá</v>
      </c>
      <c r="E402" s="2" t="s">
        <v>30</v>
      </c>
      <c r="F402" s="2" t="str">
        <f>IFERROR(__xludf.DUMMYFUNCTION("SPLIT(E402, ""-"")"),"Teléfono")</f>
        <v>Teléfono</v>
      </c>
      <c r="G402" s="2" t="str">
        <f>IFERROR(__xludf.DUMMYFUNCTION("""COMPUTED_VALUE"""),"Gama alta")</f>
        <v>Gama alta</v>
      </c>
      <c r="H402" s="2" t="str">
        <f>IFERROR(__xludf.DUMMYFUNCTION("""COMPUTED_VALUE"""),"32GB")</f>
        <v>32GB</v>
      </c>
      <c r="I402" s="17">
        <v>173.04</v>
      </c>
      <c r="J402" s="6">
        <v>2.0</v>
      </c>
      <c r="K402" s="17">
        <v>346.08</v>
      </c>
      <c r="L402" s="2" t="s">
        <v>1272</v>
      </c>
      <c r="M402" s="2" t="s">
        <v>1273</v>
      </c>
      <c r="N402" s="2" t="s">
        <v>1274</v>
      </c>
    </row>
    <row r="403" ht="15.75" customHeight="1">
      <c r="A403" s="18">
        <v>45615.0</v>
      </c>
      <c r="B403" s="16" t="str">
        <f t="shared" si="1"/>
        <v>November</v>
      </c>
      <c r="C403" s="2" t="s">
        <v>34</v>
      </c>
      <c r="D403" s="2" t="str">
        <f t="shared" si="2"/>
        <v>Medellín</v>
      </c>
      <c r="E403" s="2" t="s">
        <v>83</v>
      </c>
      <c r="F403" s="2" t="str">
        <f>IFERROR(__xludf.DUMMYFUNCTION("SPLIT(E403, ""-"")"),"Teléfono")</f>
        <v>Teléfono</v>
      </c>
      <c r="G403" s="2" t="str">
        <f>IFERROR(__xludf.DUMMYFUNCTION("""COMPUTED_VALUE"""),"Gama media")</f>
        <v>Gama media</v>
      </c>
      <c r="H403" s="2" t="str">
        <f>IFERROR(__xludf.DUMMYFUNCTION("""COMPUTED_VALUE"""),"32GB")</f>
        <v>32GB</v>
      </c>
      <c r="I403" s="17">
        <v>221.44</v>
      </c>
      <c r="J403" s="6">
        <v>3.0</v>
      </c>
      <c r="K403" s="17">
        <v>664.32</v>
      </c>
      <c r="L403" s="2" t="s">
        <v>1275</v>
      </c>
      <c r="M403" s="2" t="s">
        <v>1276</v>
      </c>
      <c r="N403" s="2" t="s">
        <v>1277</v>
      </c>
    </row>
    <row r="404" ht="15.75" customHeight="1">
      <c r="A404" s="18">
        <v>45615.0</v>
      </c>
      <c r="B404" s="16" t="str">
        <f t="shared" si="1"/>
        <v>November</v>
      </c>
      <c r="C404" s="3" t="s">
        <v>29</v>
      </c>
      <c r="D404" s="2" t="str">
        <f t="shared" si="2"/>
        <v>Ciudad De Mexico</v>
      </c>
      <c r="E404" s="2" t="s">
        <v>151</v>
      </c>
      <c r="F404" s="2" t="str">
        <f>IFERROR(__xludf.DUMMYFUNCTION("SPLIT(E404, ""-"")"),"Laptop")</f>
        <v>Laptop</v>
      </c>
      <c r="G404" s="2" t="str">
        <f>IFERROR(__xludf.DUMMYFUNCTION("""COMPUTED_VALUE"""),"Gaming")</f>
        <v>Gaming</v>
      </c>
      <c r="H404" s="2" t="str">
        <f>IFERROR(__xludf.DUMMYFUNCTION("""COMPUTED_VALUE"""),"8GB")</f>
        <v>8GB</v>
      </c>
      <c r="I404" s="17">
        <v>2185.04</v>
      </c>
      <c r="J404" s="6">
        <v>4.0</v>
      </c>
      <c r="K404" s="17">
        <v>8740.16</v>
      </c>
      <c r="L404" s="2" t="s">
        <v>1278</v>
      </c>
      <c r="M404" s="2" t="s">
        <v>1279</v>
      </c>
      <c r="N404" s="2" t="s">
        <v>1280</v>
      </c>
    </row>
    <row r="405" ht="15.75" customHeight="1">
      <c r="A405" s="18">
        <v>45615.0</v>
      </c>
      <c r="B405" s="16" t="str">
        <f t="shared" si="1"/>
        <v>November</v>
      </c>
      <c r="C405" s="2" t="s">
        <v>57</v>
      </c>
      <c r="D405" s="2" t="str">
        <f t="shared" si="2"/>
        <v>Guadalajara</v>
      </c>
      <c r="E405" s="2" t="s">
        <v>386</v>
      </c>
      <c r="F405" s="2" t="str">
        <f>IFERROR(__xludf.DUMMYFUNCTION("SPLIT(E405, ""-"")"),"Auriculares")</f>
        <v>Auriculares</v>
      </c>
      <c r="G405" s="2" t="str">
        <f>IFERROR(__xludf.DUMMYFUNCTION("""COMPUTED_VALUE"""),"Cancelación de ruido")</f>
        <v>Cancelación de ruido</v>
      </c>
      <c r="H405" s="2" t="str">
        <f>IFERROR(__xludf.DUMMYFUNCTION("""COMPUTED_VALUE"""),"4GB")</f>
        <v>4GB</v>
      </c>
      <c r="I405" s="17">
        <v>2214.19</v>
      </c>
      <c r="J405" s="6">
        <v>2.0</v>
      </c>
      <c r="K405" s="17">
        <v>4428.38</v>
      </c>
      <c r="L405" s="2" t="s">
        <v>1281</v>
      </c>
      <c r="M405" s="2" t="s">
        <v>1282</v>
      </c>
      <c r="N405" s="2" t="s">
        <v>1283</v>
      </c>
    </row>
    <row r="406" ht="15.75" customHeight="1">
      <c r="A406" s="22">
        <v>45615.0</v>
      </c>
      <c r="B406" s="16" t="str">
        <f t="shared" si="1"/>
        <v>November</v>
      </c>
      <c r="C406" s="2" t="s">
        <v>74</v>
      </c>
      <c r="D406" s="2" t="str">
        <f t="shared" si="2"/>
        <v>Cali</v>
      </c>
      <c r="E406" s="2" t="s">
        <v>662</v>
      </c>
      <c r="F406" s="2" t="str">
        <f>IFERROR(__xludf.DUMMYFUNCTION("SPLIT(E406, ""-"")"),"Auriculares")</f>
        <v>Auriculares</v>
      </c>
      <c r="G406" s="2" t="str">
        <f>IFERROR(__xludf.DUMMYFUNCTION("""COMPUTED_VALUE"""),"Cancelación de ruido")</f>
        <v>Cancelación de ruido</v>
      </c>
      <c r="H406" s="2" t="str">
        <f>IFERROR(__xludf.DUMMYFUNCTION("""COMPUTED_VALUE"""),"32GB")</f>
        <v>32GB</v>
      </c>
      <c r="I406" s="17">
        <v>215.41</v>
      </c>
      <c r="J406" s="6">
        <v>1.0</v>
      </c>
      <c r="K406" s="17">
        <v>215.41</v>
      </c>
      <c r="L406" s="2" t="s">
        <v>1284</v>
      </c>
      <c r="M406" s="2" t="s">
        <v>1285</v>
      </c>
      <c r="N406" s="2" t="s">
        <v>1286</v>
      </c>
    </row>
    <row r="407" ht="15.75" customHeight="1">
      <c r="A407" s="18">
        <v>45615.0</v>
      </c>
      <c r="B407" s="16" t="str">
        <f t="shared" si="1"/>
        <v>November</v>
      </c>
      <c r="C407" s="2" t="s">
        <v>14</v>
      </c>
      <c r="D407" s="2" t="str">
        <f t="shared" si="2"/>
        <v>Bogotá</v>
      </c>
      <c r="E407" s="2" t="s">
        <v>39</v>
      </c>
      <c r="F407" s="2" t="str">
        <f>IFERROR(__xludf.DUMMYFUNCTION("SPLIT(E407, ""-"")"),"Auriculares")</f>
        <v>Auriculares</v>
      </c>
      <c r="G407" s="2" t="str">
        <f>IFERROR(__xludf.DUMMYFUNCTION("""COMPUTED_VALUE"""),"Con cable")</f>
        <v>Con cable</v>
      </c>
      <c r="H407" s="2" t="str">
        <f>IFERROR(__xludf.DUMMYFUNCTION("""COMPUTED_VALUE"""),"8GB")</f>
        <v>8GB</v>
      </c>
      <c r="I407" s="17">
        <v>1097.51</v>
      </c>
      <c r="J407" s="6">
        <v>1.0</v>
      </c>
      <c r="K407" s="17">
        <v>1097.51</v>
      </c>
      <c r="L407" s="2" t="s">
        <v>1287</v>
      </c>
      <c r="M407" s="2" t="s">
        <v>1288</v>
      </c>
      <c r="N407" s="2" t="s">
        <v>1289</v>
      </c>
    </row>
    <row r="408" ht="15.75" customHeight="1">
      <c r="A408" s="18">
        <v>45615.0</v>
      </c>
      <c r="B408" s="16" t="str">
        <f t="shared" si="1"/>
        <v>November</v>
      </c>
      <c r="C408" s="3" t="s">
        <v>29</v>
      </c>
      <c r="D408" s="2" t="str">
        <f t="shared" si="2"/>
        <v>Ciudad De Mexico</v>
      </c>
      <c r="E408" s="2" t="s">
        <v>39</v>
      </c>
      <c r="F408" s="2" t="str">
        <f>IFERROR(__xludf.DUMMYFUNCTION("SPLIT(E408, ""-"")"),"Auriculares")</f>
        <v>Auriculares</v>
      </c>
      <c r="G408" s="2" t="str">
        <f>IFERROR(__xludf.DUMMYFUNCTION("""COMPUTED_VALUE"""),"Con cable")</f>
        <v>Con cable</v>
      </c>
      <c r="H408" s="2" t="str">
        <f>IFERROR(__xludf.DUMMYFUNCTION("""COMPUTED_VALUE"""),"8GB")</f>
        <v>8GB</v>
      </c>
      <c r="I408" s="17">
        <v>1868.8</v>
      </c>
      <c r="J408" s="6">
        <v>2.0</v>
      </c>
      <c r="K408" s="17">
        <v>3737.6</v>
      </c>
      <c r="L408" s="2" t="s">
        <v>1290</v>
      </c>
      <c r="M408" s="2" t="s">
        <v>1291</v>
      </c>
      <c r="N408" s="2" t="s">
        <v>1292</v>
      </c>
    </row>
    <row r="409" ht="15.75" customHeight="1">
      <c r="A409" s="18">
        <v>45616.0</v>
      </c>
      <c r="B409" s="16" t="str">
        <f t="shared" si="1"/>
        <v>November</v>
      </c>
      <c r="C409" s="2" t="s">
        <v>34</v>
      </c>
      <c r="D409" s="2" t="str">
        <f t="shared" si="2"/>
        <v>Medellín</v>
      </c>
      <c r="E409" s="2" t="s">
        <v>62</v>
      </c>
      <c r="F409" s="2" t="str">
        <f>IFERROR(__xludf.DUMMYFUNCTION("SPLIT(E409, ""-"")"),"Laptop")</f>
        <v>Laptop</v>
      </c>
      <c r="G409" s="2" t="str">
        <f>IFERROR(__xludf.DUMMYFUNCTION("""COMPUTED_VALUE"""),"Ultraliviana")</f>
        <v>Ultraliviana</v>
      </c>
      <c r="H409" s="2" t="str">
        <f>IFERROR(__xludf.DUMMYFUNCTION("""COMPUTED_VALUE"""),"4GB")</f>
        <v>4GB</v>
      </c>
      <c r="I409" s="17">
        <v>2371.6</v>
      </c>
      <c r="J409" s="6">
        <v>2.0</v>
      </c>
      <c r="K409" s="17">
        <v>4743.2</v>
      </c>
      <c r="L409" s="2" t="s">
        <v>1293</v>
      </c>
      <c r="M409" s="2" t="s">
        <v>1294</v>
      </c>
      <c r="N409" s="2" t="s">
        <v>1295</v>
      </c>
    </row>
    <row r="410" ht="15.75" customHeight="1">
      <c r="A410" s="18">
        <v>45616.0</v>
      </c>
      <c r="B410" s="16" t="str">
        <f t="shared" si="1"/>
        <v>November</v>
      </c>
      <c r="C410" s="2" t="s">
        <v>57</v>
      </c>
      <c r="D410" s="2" t="str">
        <f t="shared" si="2"/>
        <v>Guadalajara</v>
      </c>
      <c r="E410" s="2" t="s">
        <v>92</v>
      </c>
      <c r="F410" s="2" t="str">
        <f>IFERROR(__xludf.DUMMYFUNCTION("SPLIT(E410, ""-"")"),"Tablet")</f>
        <v>Tablet</v>
      </c>
      <c r="G410" s="2" t="str">
        <f>IFERROR(__xludf.DUMMYFUNCTION("""COMPUTED_VALUE"""),"Mini")</f>
        <v>Mini</v>
      </c>
      <c r="H410" s="2" t="str">
        <f>IFERROR(__xludf.DUMMYFUNCTION("""COMPUTED_VALUE"""),"8GB")</f>
        <v>8GB</v>
      </c>
      <c r="I410" s="17">
        <v>1752.92</v>
      </c>
      <c r="J410" s="6">
        <v>1.0</v>
      </c>
      <c r="K410" s="17">
        <v>1752.92</v>
      </c>
      <c r="L410" s="2" t="s">
        <v>1296</v>
      </c>
      <c r="M410" s="2" t="s">
        <v>1297</v>
      </c>
      <c r="N410" s="2" t="s">
        <v>1298</v>
      </c>
    </row>
    <row r="411" ht="15.75" customHeight="1">
      <c r="A411" s="18">
        <v>45616.0</v>
      </c>
      <c r="B411" s="16" t="str">
        <f t="shared" si="1"/>
        <v>November</v>
      </c>
      <c r="C411" s="2" t="s">
        <v>57</v>
      </c>
      <c r="D411" s="2" t="str">
        <f t="shared" si="2"/>
        <v>Guadalajara</v>
      </c>
      <c r="E411" s="2" t="s">
        <v>341</v>
      </c>
      <c r="F411" s="2" t="str">
        <f>IFERROR(__xludf.DUMMYFUNCTION("SPLIT(E411, ""-"")"),"Laptop")</f>
        <v>Laptop</v>
      </c>
      <c r="G411" s="2" t="str">
        <f>IFERROR(__xludf.DUMMYFUNCTION("""COMPUTED_VALUE"""),"Ultraliviana")</f>
        <v>Ultraliviana</v>
      </c>
      <c r="H411" s="2" t="str">
        <f>IFERROR(__xludf.DUMMYFUNCTION("""COMPUTED_VALUE"""),"8GB")</f>
        <v>8GB</v>
      </c>
      <c r="I411" s="17">
        <v>210.76</v>
      </c>
      <c r="J411" s="6">
        <v>5.0</v>
      </c>
      <c r="K411" s="17">
        <v>1053.8</v>
      </c>
      <c r="L411" s="2" t="s">
        <v>1299</v>
      </c>
      <c r="M411" s="2" t="s">
        <v>1300</v>
      </c>
      <c r="N411" s="2" t="s">
        <v>1301</v>
      </c>
    </row>
    <row r="412" ht="15.75" customHeight="1">
      <c r="A412" s="18">
        <v>45616.0</v>
      </c>
      <c r="B412" s="16" t="str">
        <f t="shared" si="1"/>
        <v>November</v>
      </c>
      <c r="C412" s="2" t="s">
        <v>34</v>
      </c>
      <c r="D412" s="2" t="str">
        <f t="shared" si="2"/>
        <v>Medellín</v>
      </c>
      <c r="E412" s="2" t="s">
        <v>49</v>
      </c>
      <c r="F412" s="2" t="str">
        <f>IFERROR(__xludf.DUMMYFUNCTION("SPLIT(E412, ""-"")"),"Tablet")</f>
        <v>Tablet</v>
      </c>
      <c r="G412" s="2" t="str">
        <f>IFERROR(__xludf.DUMMYFUNCTION("""COMPUTED_VALUE"""),"Estándar")</f>
        <v>Estándar</v>
      </c>
      <c r="H412" s="2" t="str">
        <f>IFERROR(__xludf.DUMMYFUNCTION("""COMPUTED_VALUE"""),"32GB")</f>
        <v>32GB</v>
      </c>
      <c r="I412" s="17">
        <v>1145.32</v>
      </c>
      <c r="J412" s="6">
        <v>1.0</v>
      </c>
      <c r="K412" s="17">
        <v>1145.32</v>
      </c>
      <c r="L412" s="2" t="s">
        <v>1302</v>
      </c>
      <c r="M412" s="2" t="s">
        <v>1303</v>
      </c>
      <c r="N412" s="2" t="s">
        <v>1304</v>
      </c>
    </row>
    <row r="413" ht="15.75" customHeight="1">
      <c r="A413" s="18">
        <v>45616.0</v>
      </c>
      <c r="B413" s="16" t="str">
        <f t="shared" si="1"/>
        <v>November</v>
      </c>
      <c r="C413" s="2" t="s">
        <v>9</v>
      </c>
      <c r="D413" s="2" t="str">
        <f t="shared" si="2"/>
        <v>Monterrey</v>
      </c>
      <c r="E413" s="2" t="s">
        <v>35</v>
      </c>
      <c r="F413" s="2" t="str">
        <f>IFERROR(__xludf.DUMMYFUNCTION("SPLIT(E413, ""-"")"),"Tablet")</f>
        <v>Tablet</v>
      </c>
      <c r="G413" s="2" t="str">
        <f>IFERROR(__xludf.DUMMYFUNCTION("""COMPUTED_VALUE"""),"Pro")</f>
        <v>Pro</v>
      </c>
      <c r="H413" s="2" t="str">
        <f>IFERROR(__xludf.DUMMYFUNCTION("""COMPUTED_VALUE"""),"4GB")</f>
        <v>4GB</v>
      </c>
      <c r="I413" s="17">
        <v>1017.27</v>
      </c>
      <c r="J413" s="6">
        <v>1.0</v>
      </c>
      <c r="K413" s="17">
        <v>1017.27</v>
      </c>
      <c r="L413" s="2" t="s">
        <v>1305</v>
      </c>
      <c r="M413" s="2" t="s">
        <v>1306</v>
      </c>
      <c r="N413" s="2" t="s">
        <v>1307</v>
      </c>
    </row>
    <row r="414" ht="15.75" customHeight="1">
      <c r="A414" s="18">
        <v>45616.0</v>
      </c>
      <c r="B414" s="16" t="str">
        <f t="shared" si="1"/>
        <v>November</v>
      </c>
      <c r="C414" s="2" t="s">
        <v>74</v>
      </c>
      <c r="D414" s="2" t="str">
        <f t="shared" si="2"/>
        <v>Cali</v>
      </c>
      <c r="E414" s="2" t="s">
        <v>66</v>
      </c>
      <c r="F414" s="2" t="str">
        <f>IFERROR(__xludf.DUMMYFUNCTION("SPLIT(E414, ""-"")"),"Tablet")</f>
        <v>Tablet</v>
      </c>
      <c r="G414" s="2" t="str">
        <f>IFERROR(__xludf.DUMMYFUNCTION("""COMPUTED_VALUE"""),"Estándar")</f>
        <v>Estándar</v>
      </c>
      <c r="H414" s="2" t="str">
        <f>IFERROR(__xludf.DUMMYFUNCTION("""COMPUTED_VALUE"""),"4GB")</f>
        <v>4GB</v>
      </c>
      <c r="I414" s="17">
        <v>2246.65</v>
      </c>
      <c r="J414" s="6">
        <v>2.0</v>
      </c>
      <c r="K414" s="17">
        <v>4493.3</v>
      </c>
      <c r="L414" s="2" t="s">
        <v>1308</v>
      </c>
      <c r="M414" s="2" t="s">
        <v>1309</v>
      </c>
      <c r="N414" s="2" t="s">
        <v>1310</v>
      </c>
    </row>
    <row r="415" ht="15.75" customHeight="1">
      <c r="A415" s="18">
        <v>45616.0</v>
      </c>
      <c r="B415" s="16" t="str">
        <f t="shared" si="1"/>
        <v>November</v>
      </c>
      <c r="C415" s="2" t="s">
        <v>34</v>
      </c>
      <c r="D415" s="2" t="str">
        <f t="shared" si="2"/>
        <v>Medellín</v>
      </c>
      <c r="E415" s="2" t="s">
        <v>66</v>
      </c>
      <c r="F415" s="2" t="str">
        <f>IFERROR(__xludf.DUMMYFUNCTION("SPLIT(E415, ""-"")"),"Tablet")</f>
        <v>Tablet</v>
      </c>
      <c r="G415" s="2" t="str">
        <f>IFERROR(__xludf.DUMMYFUNCTION("""COMPUTED_VALUE"""),"Estándar")</f>
        <v>Estándar</v>
      </c>
      <c r="H415" s="2" t="str">
        <f>IFERROR(__xludf.DUMMYFUNCTION("""COMPUTED_VALUE"""),"4GB")</f>
        <v>4GB</v>
      </c>
      <c r="I415" s="17">
        <v>269.57</v>
      </c>
      <c r="J415" s="6">
        <v>5.0</v>
      </c>
      <c r="K415" s="17">
        <v>1347.85</v>
      </c>
      <c r="L415" s="2" t="s">
        <v>1311</v>
      </c>
      <c r="M415" s="2" t="s">
        <v>1312</v>
      </c>
      <c r="N415" s="2" t="s">
        <v>1313</v>
      </c>
    </row>
    <row r="416" ht="15.75" customHeight="1">
      <c r="A416" s="18">
        <v>45616.0</v>
      </c>
      <c r="B416" s="16" t="str">
        <f t="shared" si="1"/>
        <v>November</v>
      </c>
      <c r="C416" s="2" t="s">
        <v>57</v>
      </c>
      <c r="D416" s="2" t="str">
        <f t="shared" si="2"/>
        <v>Guadalajara</v>
      </c>
      <c r="E416" s="2" t="s">
        <v>187</v>
      </c>
      <c r="F416" s="2" t="str">
        <f>IFERROR(__xludf.DUMMYFUNCTION("SPLIT(E416, ""-"")"),"Laptop")</f>
        <v>Laptop</v>
      </c>
      <c r="G416" s="2" t="str">
        <f>IFERROR(__xludf.DUMMYFUNCTION("""COMPUTED_VALUE"""),"Ultraliviana")</f>
        <v>Ultraliviana</v>
      </c>
      <c r="H416" s="2" t="str">
        <f>IFERROR(__xludf.DUMMYFUNCTION("""COMPUTED_VALUE"""),"16GB")</f>
        <v>16GB</v>
      </c>
      <c r="I416" s="17">
        <v>2189.91</v>
      </c>
      <c r="J416" s="6">
        <v>3.0</v>
      </c>
      <c r="K416" s="17">
        <v>6569.73</v>
      </c>
      <c r="L416" s="2" t="s">
        <v>1314</v>
      </c>
      <c r="M416" s="2" t="s">
        <v>1315</v>
      </c>
      <c r="N416" s="2" t="s">
        <v>1316</v>
      </c>
    </row>
    <row r="417" ht="15.75" customHeight="1">
      <c r="A417" s="18">
        <v>45616.0</v>
      </c>
      <c r="B417" s="16" t="str">
        <f t="shared" si="1"/>
        <v>November</v>
      </c>
      <c r="C417" s="2" t="s">
        <v>57</v>
      </c>
      <c r="D417" s="2" t="str">
        <f t="shared" si="2"/>
        <v>Guadalajara</v>
      </c>
      <c r="E417" s="2" t="s">
        <v>130</v>
      </c>
      <c r="F417" s="2" t="str">
        <f>IFERROR(__xludf.DUMMYFUNCTION("SPLIT(E417, ""-"")"),"Tablet")</f>
        <v>Tablet</v>
      </c>
      <c r="G417" s="2" t="str">
        <f>IFERROR(__xludf.DUMMYFUNCTION("""COMPUTED_VALUE"""),"Pro")</f>
        <v>Pro</v>
      </c>
      <c r="H417" s="2" t="str">
        <f>IFERROR(__xludf.DUMMYFUNCTION("""COMPUTED_VALUE"""),"8GB")</f>
        <v>8GB</v>
      </c>
      <c r="I417" s="17">
        <v>1130.03</v>
      </c>
      <c r="J417" s="6">
        <v>5.0</v>
      </c>
      <c r="K417" s="17">
        <v>5650.15</v>
      </c>
      <c r="L417" s="2" t="s">
        <v>1317</v>
      </c>
      <c r="M417" s="2" t="s">
        <v>1318</v>
      </c>
      <c r="N417" s="2" t="s">
        <v>1319</v>
      </c>
    </row>
    <row r="418" ht="15.75" customHeight="1">
      <c r="A418" s="18">
        <v>45616.0</v>
      </c>
      <c r="B418" s="16" t="str">
        <f t="shared" si="1"/>
        <v>November</v>
      </c>
      <c r="C418" s="3" t="s">
        <v>29</v>
      </c>
      <c r="D418" s="2" t="str">
        <f t="shared" si="2"/>
        <v>Ciudad De Mexico</v>
      </c>
      <c r="E418" s="2" t="s">
        <v>662</v>
      </c>
      <c r="F418" s="2" t="str">
        <f>IFERROR(__xludf.DUMMYFUNCTION("SPLIT(E418, ""-"")"),"Auriculares")</f>
        <v>Auriculares</v>
      </c>
      <c r="G418" s="2" t="str">
        <f>IFERROR(__xludf.DUMMYFUNCTION("""COMPUTED_VALUE"""),"Cancelación de ruido")</f>
        <v>Cancelación de ruido</v>
      </c>
      <c r="H418" s="2" t="str">
        <f>IFERROR(__xludf.DUMMYFUNCTION("""COMPUTED_VALUE"""),"32GB")</f>
        <v>32GB</v>
      </c>
      <c r="I418" s="17">
        <v>1485.74</v>
      </c>
      <c r="J418" s="6">
        <v>3.0</v>
      </c>
      <c r="K418" s="17">
        <v>4457.22</v>
      </c>
      <c r="L418" s="2" t="s">
        <v>1320</v>
      </c>
      <c r="M418" s="2" t="s">
        <v>1321</v>
      </c>
      <c r="N418" s="2" t="s">
        <v>1322</v>
      </c>
    </row>
    <row r="419" ht="15.75" customHeight="1">
      <c r="A419" s="18">
        <v>45616.0</v>
      </c>
      <c r="B419" s="16" t="str">
        <f t="shared" si="1"/>
        <v>November</v>
      </c>
      <c r="C419" s="2" t="s">
        <v>34</v>
      </c>
      <c r="D419" s="2" t="str">
        <f t="shared" si="2"/>
        <v>Medellín</v>
      </c>
      <c r="E419" s="2" t="s">
        <v>169</v>
      </c>
      <c r="F419" s="2" t="str">
        <f>IFERROR(__xludf.DUMMYFUNCTION("SPLIT(E419, ""-"")"),"Teléfono")</f>
        <v>Teléfono</v>
      </c>
      <c r="G419" s="2" t="str">
        <f>IFERROR(__xludf.DUMMYFUNCTION("""COMPUTED_VALUE"""),"Gama baja")</f>
        <v>Gama baja</v>
      </c>
      <c r="H419" s="2" t="str">
        <f>IFERROR(__xludf.DUMMYFUNCTION("""COMPUTED_VALUE"""),"4GB")</f>
        <v>4GB</v>
      </c>
      <c r="I419" s="17">
        <v>1570.12</v>
      </c>
      <c r="J419" s="6">
        <v>3.0</v>
      </c>
      <c r="K419" s="17">
        <v>4710.36</v>
      </c>
      <c r="L419" s="2" t="s">
        <v>1323</v>
      </c>
      <c r="M419" s="2" t="s">
        <v>1324</v>
      </c>
      <c r="N419" s="2" t="s">
        <v>1325</v>
      </c>
    </row>
    <row r="420" ht="15.75" customHeight="1">
      <c r="A420" s="18">
        <v>45616.0</v>
      </c>
      <c r="B420" s="16" t="str">
        <f t="shared" si="1"/>
        <v>November</v>
      </c>
      <c r="C420" s="2" t="s">
        <v>9</v>
      </c>
      <c r="D420" s="2" t="str">
        <f t="shared" si="2"/>
        <v>Monterrey</v>
      </c>
      <c r="E420" s="2" t="s">
        <v>222</v>
      </c>
      <c r="F420" s="2" t="str">
        <f>IFERROR(__xludf.DUMMYFUNCTION("SPLIT(E420, ""-"")"),"Laptop")</f>
        <v>Laptop</v>
      </c>
      <c r="G420" s="2" t="str">
        <f>IFERROR(__xludf.DUMMYFUNCTION("""COMPUTED_VALUE"""),"Gaming")</f>
        <v>Gaming</v>
      </c>
      <c r="H420" s="2" t="str">
        <f>IFERROR(__xludf.DUMMYFUNCTION("""COMPUTED_VALUE"""),"16GB")</f>
        <v>16GB</v>
      </c>
      <c r="I420" s="17">
        <v>2469.75</v>
      </c>
      <c r="J420" s="6">
        <v>3.0</v>
      </c>
      <c r="K420" s="17">
        <v>7409.25</v>
      </c>
      <c r="L420" s="2" t="s">
        <v>1326</v>
      </c>
      <c r="M420" s="2" t="s">
        <v>1327</v>
      </c>
      <c r="N420" s="2" t="s">
        <v>1328</v>
      </c>
    </row>
    <row r="421" ht="15.75" customHeight="1">
      <c r="A421" s="18">
        <v>45617.0</v>
      </c>
      <c r="B421" s="16" t="str">
        <f t="shared" si="1"/>
        <v>November</v>
      </c>
      <c r="C421" s="2" t="s">
        <v>9</v>
      </c>
      <c r="D421" s="2" t="str">
        <f t="shared" si="2"/>
        <v>Monterrey</v>
      </c>
      <c r="E421" s="2" t="s">
        <v>88</v>
      </c>
      <c r="F421" s="2" t="str">
        <f>IFERROR(__xludf.DUMMYFUNCTION("SPLIT(E421, ""-"")"),"Laptop")</f>
        <v>Laptop</v>
      </c>
      <c r="G421" s="2" t="str">
        <f>IFERROR(__xludf.DUMMYFUNCTION("""COMPUTED_VALUE"""),"Gaming")</f>
        <v>Gaming</v>
      </c>
      <c r="H421" s="2" t="str">
        <f>IFERROR(__xludf.DUMMYFUNCTION("""COMPUTED_VALUE"""),"32GB")</f>
        <v>32GB</v>
      </c>
      <c r="I421" s="17">
        <v>1738.96</v>
      </c>
      <c r="J421" s="6">
        <v>4.0</v>
      </c>
      <c r="K421" s="17">
        <v>6955.84</v>
      </c>
      <c r="L421" s="2" t="s">
        <v>1329</v>
      </c>
      <c r="M421" s="2" t="s">
        <v>1330</v>
      </c>
      <c r="N421" s="2" t="s">
        <v>1331</v>
      </c>
    </row>
    <row r="422" ht="15.75" customHeight="1">
      <c r="A422" s="18">
        <v>45617.0</v>
      </c>
      <c r="B422" s="16" t="str">
        <f t="shared" si="1"/>
        <v>November</v>
      </c>
      <c r="C422" s="2" t="s">
        <v>14</v>
      </c>
      <c r="D422" s="2" t="str">
        <f t="shared" si="2"/>
        <v>Bogotá</v>
      </c>
      <c r="E422" s="2" t="s">
        <v>179</v>
      </c>
      <c r="F422" s="2" t="str">
        <f>IFERROR(__xludf.DUMMYFUNCTION("SPLIT(E422, ""-"")"),"Tablet")</f>
        <v>Tablet</v>
      </c>
      <c r="G422" s="2" t="str">
        <f>IFERROR(__xludf.DUMMYFUNCTION("""COMPUTED_VALUE"""),"Mini")</f>
        <v>Mini</v>
      </c>
      <c r="H422" s="2" t="str">
        <f>IFERROR(__xludf.DUMMYFUNCTION("""COMPUTED_VALUE"""),"4GB")</f>
        <v>4GB</v>
      </c>
      <c r="I422" s="17">
        <v>1987.27</v>
      </c>
      <c r="J422" s="6">
        <v>3.0</v>
      </c>
      <c r="K422" s="17">
        <v>5961.81</v>
      </c>
      <c r="L422" s="2" t="s">
        <v>1332</v>
      </c>
      <c r="M422" s="2" t="s">
        <v>1333</v>
      </c>
      <c r="N422" s="2" t="s">
        <v>1334</v>
      </c>
    </row>
    <row r="423" ht="15.75" customHeight="1">
      <c r="A423" s="18">
        <v>45617.0</v>
      </c>
      <c r="B423" s="16" t="str">
        <f t="shared" si="1"/>
        <v>November</v>
      </c>
      <c r="C423" s="2" t="s">
        <v>9</v>
      </c>
      <c r="D423" s="2" t="str">
        <f t="shared" si="2"/>
        <v>Monterrey</v>
      </c>
      <c r="E423" s="2" t="s">
        <v>58</v>
      </c>
      <c r="F423" s="2" t="str">
        <f>IFERROR(__xludf.DUMMYFUNCTION("SPLIT(E423, ""-"")"),"Auriculares")</f>
        <v>Auriculares</v>
      </c>
      <c r="G423" s="2" t="str">
        <f>IFERROR(__xludf.DUMMYFUNCTION("""COMPUTED_VALUE"""),"Bluetooth")</f>
        <v>Bluetooth</v>
      </c>
      <c r="H423" s="2" t="str">
        <f>IFERROR(__xludf.DUMMYFUNCTION("""COMPUTED_VALUE"""),"4GB")</f>
        <v>4GB</v>
      </c>
      <c r="I423" s="17">
        <v>1640.14</v>
      </c>
      <c r="J423" s="6">
        <v>5.0</v>
      </c>
      <c r="K423" s="17">
        <v>8200.7</v>
      </c>
      <c r="L423" s="2" t="s">
        <v>1335</v>
      </c>
      <c r="M423" s="2" t="s">
        <v>1336</v>
      </c>
      <c r="N423" s="2" t="s">
        <v>1337</v>
      </c>
    </row>
    <row r="424" ht="15.75" customHeight="1">
      <c r="A424" s="18">
        <v>45617.0</v>
      </c>
      <c r="B424" s="16" t="str">
        <f t="shared" si="1"/>
        <v>November</v>
      </c>
      <c r="C424" s="2" t="s">
        <v>57</v>
      </c>
      <c r="D424" s="2" t="str">
        <f t="shared" si="2"/>
        <v>Guadalajara</v>
      </c>
      <c r="E424" s="2" t="s">
        <v>427</v>
      </c>
      <c r="F424" s="2" t="str">
        <f>IFERROR(__xludf.DUMMYFUNCTION("SPLIT(E424, ""-"")"),"Teléfono")</f>
        <v>Teléfono</v>
      </c>
      <c r="G424" s="2" t="str">
        <f>IFERROR(__xludf.DUMMYFUNCTION("""COMPUTED_VALUE"""),"Gama alta")</f>
        <v>Gama alta</v>
      </c>
      <c r="H424" s="2" t="str">
        <f>IFERROR(__xludf.DUMMYFUNCTION("""COMPUTED_VALUE"""),"4GB")</f>
        <v>4GB</v>
      </c>
      <c r="I424" s="17">
        <v>2420.41</v>
      </c>
      <c r="J424" s="6">
        <v>2.0</v>
      </c>
      <c r="K424" s="17">
        <v>4840.82</v>
      </c>
      <c r="L424" s="2" t="s">
        <v>1338</v>
      </c>
      <c r="M424" s="2" t="s">
        <v>1339</v>
      </c>
      <c r="N424" s="2" t="s">
        <v>1340</v>
      </c>
    </row>
    <row r="425" ht="15.75" customHeight="1">
      <c r="A425" s="18">
        <v>45617.0</v>
      </c>
      <c r="B425" s="16" t="str">
        <f t="shared" si="1"/>
        <v>November</v>
      </c>
      <c r="C425" s="2" t="s">
        <v>57</v>
      </c>
      <c r="D425" s="2" t="str">
        <f t="shared" si="2"/>
        <v>Guadalajara</v>
      </c>
      <c r="E425" s="2" t="s">
        <v>222</v>
      </c>
      <c r="F425" s="2" t="str">
        <f>IFERROR(__xludf.DUMMYFUNCTION("SPLIT(E425, ""-"")"),"Laptop")</f>
        <v>Laptop</v>
      </c>
      <c r="G425" s="2" t="str">
        <f>IFERROR(__xludf.DUMMYFUNCTION("""COMPUTED_VALUE"""),"Gaming")</f>
        <v>Gaming</v>
      </c>
      <c r="H425" s="2" t="str">
        <f>IFERROR(__xludf.DUMMYFUNCTION("""COMPUTED_VALUE"""),"16GB")</f>
        <v>16GB</v>
      </c>
      <c r="I425" s="17">
        <v>495.51</v>
      </c>
      <c r="J425" s="6">
        <v>2.0</v>
      </c>
      <c r="K425" s="17">
        <v>991.02</v>
      </c>
      <c r="L425" s="2" t="s">
        <v>1341</v>
      </c>
      <c r="M425" s="2" t="s">
        <v>1342</v>
      </c>
      <c r="N425" s="2" t="s">
        <v>1343</v>
      </c>
    </row>
    <row r="426" ht="15.75" customHeight="1">
      <c r="A426" s="18">
        <v>45617.0</v>
      </c>
      <c r="B426" s="16" t="str">
        <f t="shared" si="1"/>
        <v>November</v>
      </c>
      <c r="C426" s="2" t="s">
        <v>9</v>
      </c>
      <c r="D426" s="2" t="str">
        <f t="shared" si="2"/>
        <v>Monterrey</v>
      </c>
      <c r="E426" s="2" t="s">
        <v>341</v>
      </c>
      <c r="F426" s="2" t="str">
        <f>IFERROR(__xludf.DUMMYFUNCTION("SPLIT(E426, ""-"")"),"Laptop")</f>
        <v>Laptop</v>
      </c>
      <c r="G426" s="2" t="str">
        <f>IFERROR(__xludf.DUMMYFUNCTION("""COMPUTED_VALUE"""),"Ultraliviana")</f>
        <v>Ultraliviana</v>
      </c>
      <c r="H426" s="2" t="str">
        <f>IFERROR(__xludf.DUMMYFUNCTION("""COMPUTED_VALUE"""),"8GB")</f>
        <v>8GB</v>
      </c>
      <c r="I426" s="17">
        <v>299.66</v>
      </c>
      <c r="J426" s="6">
        <v>3.0</v>
      </c>
      <c r="K426" s="17">
        <v>898.98</v>
      </c>
      <c r="L426" s="2" t="s">
        <v>1344</v>
      </c>
      <c r="M426" s="2" t="s">
        <v>1345</v>
      </c>
      <c r="N426" s="2" t="s">
        <v>1346</v>
      </c>
    </row>
    <row r="427" ht="15.75" customHeight="1">
      <c r="A427" s="18">
        <v>45617.0</v>
      </c>
      <c r="B427" s="16" t="str">
        <f t="shared" si="1"/>
        <v>November</v>
      </c>
      <c r="C427" s="2" t="s">
        <v>74</v>
      </c>
      <c r="D427" s="2" t="str">
        <f t="shared" si="2"/>
        <v>Cali</v>
      </c>
      <c r="E427" s="2" t="s">
        <v>226</v>
      </c>
      <c r="F427" s="2" t="str">
        <f>IFERROR(__xludf.DUMMYFUNCTION("SPLIT(E427, ""-"")"),"Laptop")</f>
        <v>Laptop</v>
      </c>
      <c r="G427" s="2" t="str">
        <f>IFERROR(__xludf.DUMMYFUNCTION("""COMPUTED_VALUE"""),"Oficina")</f>
        <v>Oficina</v>
      </c>
      <c r="H427" s="2" t="str">
        <f>IFERROR(__xludf.DUMMYFUNCTION("""COMPUTED_VALUE"""),"4GB")</f>
        <v>4GB</v>
      </c>
      <c r="I427" s="17">
        <v>510.78</v>
      </c>
      <c r="J427" s="6">
        <v>3.0</v>
      </c>
      <c r="K427" s="17">
        <v>1532.34</v>
      </c>
      <c r="L427" s="2" t="s">
        <v>1347</v>
      </c>
      <c r="M427" s="2" t="s">
        <v>1348</v>
      </c>
      <c r="N427" s="2" t="s">
        <v>1349</v>
      </c>
    </row>
    <row r="428" ht="15.75" customHeight="1">
      <c r="A428" s="18">
        <v>45617.0</v>
      </c>
      <c r="B428" s="16" t="str">
        <f t="shared" si="1"/>
        <v>November</v>
      </c>
      <c r="C428" s="2" t="s">
        <v>114</v>
      </c>
      <c r="D428" s="2" t="str">
        <f t="shared" si="2"/>
        <v>Guadalajara</v>
      </c>
      <c r="E428" s="2" t="s">
        <v>165</v>
      </c>
      <c r="F428" s="2" t="str">
        <f>IFERROR(__xludf.DUMMYFUNCTION("SPLIT(E428, ""-"")"),"Auriculares")</f>
        <v>Auriculares</v>
      </c>
      <c r="G428" s="2" t="str">
        <f>IFERROR(__xludf.DUMMYFUNCTION("""COMPUTED_VALUE"""),"Bluetooth")</f>
        <v>Bluetooth</v>
      </c>
      <c r="H428" s="2" t="str">
        <f>IFERROR(__xludf.DUMMYFUNCTION("""COMPUTED_VALUE"""),"32GB")</f>
        <v>32GB</v>
      </c>
      <c r="I428" s="17">
        <v>2399.53</v>
      </c>
      <c r="J428" s="6">
        <v>3.0</v>
      </c>
      <c r="K428" s="20">
        <f>I428*J428</f>
        <v>7198.59</v>
      </c>
      <c r="L428" s="2" t="s">
        <v>1350</v>
      </c>
      <c r="M428" s="2" t="s">
        <v>1351</v>
      </c>
      <c r="N428" s="2" t="s">
        <v>1352</v>
      </c>
    </row>
    <row r="429" ht="15.75" customHeight="1">
      <c r="A429" s="18">
        <v>45617.0</v>
      </c>
      <c r="B429" s="16" t="str">
        <f t="shared" si="1"/>
        <v>November</v>
      </c>
      <c r="C429" s="2" t="s">
        <v>74</v>
      </c>
      <c r="D429" s="2" t="str">
        <f t="shared" si="2"/>
        <v>Cali</v>
      </c>
      <c r="E429" s="2" t="s">
        <v>22</v>
      </c>
      <c r="F429" s="2" t="str">
        <f>IFERROR(__xludf.DUMMYFUNCTION("SPLIT(E429, ""-"")"),"Tablet")</f>
        <v>Tablet</v>
      </c>
      <c r="G429" s="2" t="str">
        <f>IFERROR(__xludf.DUMMYFUNCTION("""COMPUTED_VALUE"""),"Estándar")</f>
        <v>Estándar</v>
      </c>
      <c r="H429" s="2" t="str">
        <f>IFERROR(__xludf.DUMMYFUNCTION("""COMPUTED_VALUE"""),"16GB")</f>
        <v>16GB</v>
      </c>
      <c r="I429" s="20">
        <f>K429/J429</f>
        <v>2408.85</v>
      </c>
      <c r="J429" s="6">
        <v>4.0</v>
      </c>
      <c r="K429" s="17">
        <v>9635.4</v>
      </c>
      <c r="L429" s="2" t="s">
        <v>1353</v>
      </c>
      <c r="M429" s="2" t="s">
        <v>1354</v>
      </c>
      <c r="N429" s="2" t="s">
        <v>1355</v>
      </c>
    </row>
    <row r="430" ht="15.75" customHeight="1">
      <c r="A430" s="18">
        <v>45617.0</v>
      </c>
      <c r="B430" s="16" t="str">
        <f t="shared" si="1"/>
        <v>November</v>
      </c>
      <c r="C430" s="2" t="s">
        <v>9</v>
      </c>
      <c r="D430" s="2" t="str">
        <f t="shared" si="2"/>
        <v>Monterrey</v>
      </c>
      <c r="E430" s="2" t="s">
        <v>53</v>
      </c>
      <c r="F430" s="2" t="str">
        <f>IFERROR(__xludf.DUMMYFUNCTION("SPLIT(E430, ""-"")"),"Laptop")</f>
        <v>Laptop</v>
      </c>
      <c r="G430" s="2" t="str">
        <f>IFERROR(__xludf.DUMMYFUNCTION("""COMPUTED_VALUE"""),"Oficina")</f>
        <v>Oficina</v>
      </c>
      <c r="H430" s="2" t="str">
        <f>IFERROR(__xludf.DUMMYFUNCTION("""COMPUTED_VALUE"""),"8GB")</f>
        <v>8GB</v>
      </c>
      <c r="I430" s="17">
        <v>1944.02</v>
      </c>
      <c r="J430" s="6">
        <v>1.0</v>
      </c>
      <c r="K430" s="17">
        <v>1944.02</v>
      </c>
      <c r="L430" s="2" t="s">
        <v>1356</v>
      </c>
      <c r="M430" s="2" t="s">
        <v>1357</v>
      </c>
      <c r="N430" s="2" t="s">
        <v>1358</v>
      </c>
    </row>
    <row r="431" ht="15.75" customHeight="1">
      <c r="A431" s="18">
        <v>45617.0</v>
      </c>
      <c r="B431" s="16" t="str">
        <f t="shared" si="1"/>
        <v>November</v>
      </c>
      <c r="C431" s="2" t="s">
        <v>14</v>
      </c>
      <c r="D431" s="2" t="str">
        <f t="shared" si="2"/>
        <v>Bogotá</v>
      </c>
      <c r="E431" s="2" t="s">
        <v>386</v>
      </c>
      <c r="F431" s="2" t="str">
        <f>IFERROR(__xludf.DUMMYFUNCTION("SPLIT(E431, ""-"")"),"Auriculares")</f>
        <v>Auriculares</v>
      </c>
      <c r="G431" s="2" t="str">
        <f>IFERROR(__xludf.DUMMYFUNCTION("""COMPUTED_VALUE"""),"Cancelación de ruido")</f>
        <v>Cancelación de ruido</v>
      </c>
      <c r="H431" s="2" t="str">
        <f>IFERROR(__xludf.DUMMYFUNCTION("""COMPUTED_VALUE"""),"4GB")</f>
        <v>4GB</v>
      </c>
      <c r="I431" s="17">
        <v>1160.21</v>
      </c>
      <c r="J431" s="6">
        <v>2.0</v>
      </c>
      <c r="K431" s="17">
        <v>2320.42</v>
      </c>
      <c r="L431" s="2" t="s">
        <v>1359</v>
      </c>
      <c r="M431" s="2" t="s">
        <v>1360</v>
      </c>
      <c r="N431" s="2" t="s">
        <v>1361</v>
      </c>
    </row>
    <row r="432" ht="15.75" customHeight="1">
      <c r="A432" s="18">
        <v>45617.0</v>
      </c>
      <c r="B432" s="16" t="str">
        <f t="shared" si="1"/>
        <v>November</v>
      </c>
      <c r="C432" s="3" t="s">
        <v>29</v>
      </c>
      <c r="D432" s="2" t="str">
        <f t="shared" si="2"/>
        <v>Ciudad De Mexico</v>
      </c>
      <c r="E432" s="2" t="s">
        <v>137</v>
      </c>
      <c r="F432" s="2" t="str">
        <f>IFERROR(__xludf.DUMMYFUNCTION("SPLIT(E432, ""-"")"),"Auriculares")</f>
        <v>Auriculares</v>
      </c>
      <c r="G432" s="2" t="str">
        <f>IFERROR(__xludf.DUMMYFUNCTION("""COMPUTED_VALUE"""),"Con cable")</f>
        <v>Con cable</v>
      </c>
      <c r="H432" s="2" t="str">
        <f>IFERROR(__xludf.DUMMYFUNCTION("""COMPUTED_VALUE"""),"16GB")</f>
        <v>16GB</v>
      </c>
      <c r="I432" s="17">
        <v>536.87</v>
      </c>
      <c r="J432" s="6">
        <v>1.0</v>
      </c>
      <c r="K432" s="17">
        <v>536.87</v>
      </c>
      <c r="L432" s="2" t="s">
        <v>1362</v>
      </c>
      <c r="M432" s="2" t="s">
        <v>1363</v>
      </c>
      <c r="N432" s="2" t="s">
        <v>1364</v>
      </c>
    </row>
    <row r="433" ht="15.75" customHeight="1">
      <c r="A433" s="18">
        <v>45618.0</v>
      </c>
      <c r="B433" s="16" t="str">
        <f t="shared" si="1"/>
        <v>November</v>
      </c>
      <c r="C433" s="3" t="s">
        <v>29</v>
      </c>
      <c r="D433" s="2" t="str">
        <f t="shared" si="2"/>
        <v>Ciudad De Mexico</v>
      </c>
      <c r="E433" s="2" t="s">
        <v>49</v>
      </c>
      <c r="F433" s="2" t="str">
        <f>IFERROR(__xludf.DUMMYFUNCTION("SPLIT(E433, ""-"")"),"Tablet")</f>
        <v>Tablet</v>
      </c>
      <c r="G433" s="2" t="str">
        <f>IFERROR(__xludf.DUMMYFUNCTION("""COMPUTED_VALUE"""),"Estándar")</f>
        <v>Estándar</v>
      </c>
      <c r="H433" s="2" t="str">
        <f>IFERROR(__xludf.DUMMYFUNCTION("""COMPUTED_VALUE"""),"32GB")</f>
        <v>32GB</v>
      </c>
      <c r="I433" s="17">
        <v>416.62</v>
      </c>
      <c r="J433" s="6">
        <v>5.0</v>
      </c>
      <c r="K433" s="17">
        <v>2083.1</v>
      </c>
      <c r="L433" s="2" t="s">
        <v>1365</v>
      </c>
      <c r="M433" s="2" t="s">
        <v>1366</v>
      </c>
      <c r="N433" s="2" t="s">
        <v>1367</v>
      </c>
    </row>
    <row r="434" ht="15.75" customHeight="1">
      <c r="A434" s="18">
        <v>45618.0</v>
      </c>
      <c r="B434" s="16" t="str">
        <f t="shared" si="1"/>
        <v>November</v>
      </c>
      <c r="C434" s="2" t="s">
        <v>34</v>
      </c>
      <c r="D434" s="2" t="str">
        <f t="shared" si="2"/>
        <v>Medellín</v>
      </c>
      <c r="E434" s="2" t="s">
        <v>427</v>
      </c>
      <c r="F434" s="2" t="str">
        <f>IFERROR(__xludf.DUMMYFUNCTION("SPLIT(E434, ""-"")"),"Teléfono")</f>
        <v>Teléfono</v>
      </c>
      <c r="G434" s="2" t="str">
        <f>IFERROR(__xludf.DUMMYFUNCTION("""COMPUTED_VALUE"""),"Gama alta")</f>
        <v>Gama alta</v>
      </c>
      <c r="H434" s="2" t="str">
        <f>IFERROR(__xludf.DUMMYFUNCTION("""COMPUTED_VALUE"""),"4GB")</f>
        <v>4GB</v>
      </c>
      <c r="I434" s="17">
        <v>1175.45</v>
      </c>
      <c r="J434" s="6">
        <v>5.0</v>
      </c>
      <c r="K434" s="17">
        <v>5877.25</v>
      </c>
      <c r="L434" s="2" t="s">
        <v>1368</v>
      </c>
      <c r="M434" s="2" t="s">
        <v>1369</v>
      </c>
      <c r="N434" s="2" t="s">
        <v>1370</v>
      </c>
    </row>
    <row r="435" ht="15.75" customHeight="1">
      <c r="A435" s="18">
        <v>45618.0</v>
      </c>
      <c r="B435" s="16" t="str">
        <f t="shared" si="1"/>
        <v>November</v>
      </c>
      <c r="C435" s="2" t="s">
        <v>9</v>
      </c>
      <c r="D435" s="2" t="str">
        <f t="shared" si="2"/>
        <v>Monterrey</v>
      </c>
      <c r="E435" s="2" t="s">
        <v>427</v>
      </c>
      <c r="F435" s="2" t="str">
        <f>IFERROR(__xludf.DUMMYFUNCTION("SPLIT(E435, ""-"")"),"Teléfono")</f>
        <v>Teléfono</v>
      </c>
      <c r="G435" s="2" t="str">
        <f>IFERROR(__xludf.DUMMYFUNCTION("""COMPUTED_VALUE"""),"Gama alta")</f>
        <v>Gama alta</v>
      </c>
      <c r="H435" s="2" t="str">
        <f>IFERROR(__xludf.DUMMYFUNCTION("""COMPUTED_VALUE"""),"4GB")</f>
        <v>4GB</v>
      </c>
      <c r="I435" s="17">
        <v>1273.61</v>
      </c>
      <c r="J435" s="6">
        <v>4.0</v>
      </c>
      <c r="K435" s="17">
        <v>5094.44</v>
      </c>
      <c r="L435" s="2" t="s">
        <v>1371</v>
      </c>
      <c r="M435" s="2" t="s">
        <v>1372</v>
      </c>
      <c r="N435" s="2" t="s">
        <v>1373</v>
      </c>
    </row>
    <row r="436" ht="15.75" customHeight="1">
      <c r="A436" s="18">
        <v>45618.0</v>
      </c>
      <c r="B436" s="16" t="str">
        <f t="shared" si="1"/>
        <v>November</v>
      </c>
      <c r="C436" s="2" t="s">
        <v>74</v>
      </c>
      <c r="D436" s="2" t="str">
        <f t="shared" si="2"/>
        <v>Cali</v>
      </c>
      <c r="E436" s="2" t="s">
        <v>49</v>
      </c>
      <c r="F436" s="2" t="str">
        <f>IFERROR(__xludf.DUMMYFUNCTION("SPLIT(E436, ""-"")"),"Tablet")</f>
        <v>Tablet</v>
      </c>
      <c r="G436" s="2" t="str">
        <f>IFERROR(__xludf.DUMMYFUNCTION("""COMPUTED_VALUE"""),"Estándar")</f>
        <v>Estándar</v>
      </c>
      <c r="H436" s="2" t="str">
        <f>IFERROR(__xludf.DUMMYFUNCTION("""COMPUTED_VALUE"""),"32GB")</f>
        <v>32GB</v>
      </c>
      <c r="I436" s="17">
        <v>1402.66</v>
      </c>
      <c r="J436" s="6">
        <v>5.0</v>
      </c>
      <c r="K436" s="17">
        <v>7013.3</v>
      </c>
      <c r="L436" s="2" t="s">
        <v>1374</v>
      </c>
      <c r="M436" s="2" t="s">
        <v>1375</v>
      </c>
      <c r="N436" s="2" t="s">
        <v>1376</v>
      </c>
    </row>
    <row r="437" ht="15.75" customHeight="1">
      <c r="A437" s="18">
        <v>45618.0</v>
      </c>
      <c r="B437" s="16" t="str">
        <f t="shared" si="1"/>
        <v>November</v>
      </c>
      <c r="C437" s="3" t="s">
        <v>29</v>
      </c>
      <c r="D437" s="2" t="str">
        <f t="shared" si="2"/>
        <v>Ciudad De Mexico</v>
      </c>
      <c r="E437" s="2" t="s">
        <v>10</v>
      </c>
      <c r="F437" s="2" t="str">
        <f>IFERROR(__xludf.DUMMYFUNCTION("SPLIT(E437, ""-"")"),"Tablet")</f>
        <v>Tablet</v>
      </c>
      <c r="G437" s="2" t="str">
        <f>IFERROR(__xludf.DUMMYFUNCTION("""COMPUTED_VALUE"""),"Estándar")</f>
        <v>Estándar</v>
      </c>
      <c r="H437" s="2" t="str">
        <f>IFERROR(__xludf.DUMMYFUNCTION("""COMPUTED_VALUE"""),"8GB")</f>
        <v>8GB</v>
      </c>
      <c r="I437" s="17">
        <v>197.09</v>
      </c>
      <c r="J437" s="6">
        <v>3.0</v>
      </c>
      <c r="K437" s="17">
        <v>591.27</v>
      </c>
      <c r="L437" s="2" t="s">
        <v>1377</v>
      </c>
      <c r="M437" s="2" t="s">
        <v>1378</v>
      </c>
      <c r="N437" s="2" t="s">
        <v>1379</v>
      </c>
    </row>
    <row r="438" ht="15.75" customHeight="1">
      <c r="A438" s="18">
        <v>45618.0</v>
      </c>
      <c r="B438" s="16" t="str">
        <f t="shared" si="1"/>
        <v>November</v>
      </c>
      <c r="C438" s="2" t="s">
        <v>34</v>
      </c>
      <c r="D438" s="2" t="str">
        <f t="shared" si="2"/>
        <v>Medellín</v>
      </c>
      <c r="E438" s="2" t="s">
        <v>427</v>
      </c>
      <c r="F438" s="2" t="str">
        <f>IFERROR(__xludf.DUMMYFUNCTION("SPLIT(E438, ""-"")"),"Teléfono")</f>
        <v>Teléfono</v>
      </c>
      <c r="G438" s="2" t="str">
        <f>IFERROR(__xludf.DUMMYFUNCTION("""COMPUTED_VALUE"""),"Gama alta")</f>
        <v>Gama alta</v>
      </c>
      <c r="H438" s="2" t="str">
        <f>IFERROR(__xludf.DUMMYFUNCTION("""COMPUTED_VALUE"""),"4GB")</f>
        <v>4GB</v>
      </c>
      <c r="I438" s="17">
        <v>2135.79</v>
      </c>
      <c r="J438" s="6">
        <v>1.0</v>
      </c>
      <c r="K438" s="17">
        <v>2135.79</v>
      </c>
      <c r="L438" s="2" t="s">
        <v>1380</v>
      </c>
      <c r="M438" s="2" t="s">
        <v>1381</v>
      </c>
      <c r="N438" s="2" t="s">
        <v>1382</v>
      </c>
    </row>
    <row r="439" ht="15.75" customHeight="1">
      <c r="A439" s="18">
        <v>45618.0</v>
      </c>
      <c r="B439" s="16" t="str">
        <f t="shared" si="1"/>
        <v>November</v>
      </c>
      <c r="C439" s="3" t="s">
        <v>29</v>
      </c>
      <c r="D439" s="2" t="str">
        <f t="shared" si="2"/>
        <v>Ciudad De Mexico</v>
      </c>
      <c r="E439" s="2" t="s">
        <v>370</v>
      </c>
      <c r="F439" s="2" t="str">
        <f>IFERROR(__xludf.DUMMYFUNCTION("SPLIT(E439, ""-"")"),"Teléfono")</f>
        <v>Teléfono</v>
      </c>
      <c r="G439" s="2" t="str">
        <f>IFERROR(__xludf.DUMMYFUNCTION("""COMPUTED_VALUE"""),"Gama media")</f>
        <v>Gama media</v>
      </c>
      <c r="H439" s="2" t="str">
        <f>IFERROR(__xludf.DUMMYFUNCTION("""COMPUTED_VALUE"""),"16GB")</f>
        <v>16GB</v>
      </c>
      <c r="I439" s="17">
        <v>752.56</v>
      </c>
      <c r="J439" s="6">
        <v>2.0</v>
      </c>
      <c r="K439" s="17">
        <v>1505.12</v>
      </c>
      <c r="L439" s="2" t="s">
        <v>1383</v>
      </c>
      <c r="M439" s="2" t="s">
        <v>1384</v>
      </c>
      <c r="N439" s="2" t="s">
        <v>1385</v>
      </c>
    </row>
    <row r="440" ht="15.75" customHeight="1">
      <c r="A440" s="18">
        <v>45618.0</v>
      </c>
      <c r="B440" s="16" t="str">
        <f t="shared" si="1"/>
        <v>November</v>
      </c>
      <c r="C440" s="2" t="s">
        <v>14</v>
      </c>
      <c r="D440" s="2" t="str">
        <f t="shared" si="2"/>
        <v>Bogotá</v>
      </c>
      <c r="E440" s="2" t="s">
        <v>115</v>
      </c>
      <c r="F440" s="2" t="str">
        <f>IFERROR(__xludf.DUMMYFUNCTION("SPLIT(E440, ""-"")"),"Teléfono")</f>
        <v>Teléfono</v>
      </c>
      <c r="G440" s="2" t="str">
        <f>IFERROR(__xludf.DUMMYFUNCTION("""COMPUTED_VALUE"""),"Gama baja")</f>
        <v>Gama baja</v>
      </c>
      <c r="H440" s="2" t="str">
        <f>IFERROR(__xludf.DUMMYFUNCTION("""COMPUTED_VALUE"""),"16GB")</f>
        <v>16GB</v>
      </c>
      <c r="I440" s="17">
        <v>2198.02</v>
      </c>
      <c r="J440" s="6">
        <v>1.0</v>
      </c>
      <c r="K440" s="17">
        <v>2198.02</v>
      </c>
      <c r="L440" s="2" t="s">
        <v>1386</v>
      </c>
      <c r="M440" s="2" t="s">
        <v>1387</v>
      </c>
      <c r="N440" s="2" t="s">
        <v>1388</v>
      </c>
    </row>
    <row r="441" ht="15.75" customHeight="1">
      <c r="A441" s="18">
        <v>45618.0</v>
      </c>
      <c r="B441" s="16" t="str">
        <f t="shared" si="1"/>
        <v>November</v>
      </c>
      <c r="C441" s="2" t="s">
        <v>14</v>
      </c>
      <c r="D441" s="2" t="str">
        <f t="shared" si="2"/>
        <v>Bogotá</v>
      </c>
      <c r="E441" s="2" t="s">
        <v>151</v>
      </c>
      <c r="F441" s="2" t="str">
        <f>IFERROR(__xludf.DUMMYFUNCTION("SPLIT(E441, ""-"")"),"Laptop")</f>
        <v>Laptop</v>
      </c>
      <c r="G441" s="2" t="str">
        <f>IFERROR(__xludf.DUMMYFUNCTION("""COMPUTED_VALUE"""),"Gaming")</f>
        <v>Gaming</v>
      </c>
      <c r="H441" s="2" t="str">
        <f>IFERROR(__xludf.DUMMYFUNCTION("""COMPUTED_VALUE"""),"8GB")</f>
        <v>8GB</v>
      </c>
      <c r="I441" s="17">
        <v>342.64</v>
      </c>
      <c r="J441" s="6">
        <v>2.0</v>
      </c>
      <c r="K441" s="17">
        <v>685.28</v>
      </c>
      <c r="L441" s="2" t="s">
        <v>1389</v>
      </c>
      <c r="M441" s="2" t="s">
        <v>1390</v>
      </c>
      <c r="N441" s="2" t="s">
        <v>1391</v>
      </c>
    </row>
    <row r="442" ht="15.75" customHeight="1">
      <c r="A442" s="18">
        <v>45618.0</v>
      </c>
      <c r="B442" s="16" t="str">
        <f t="shared" si="1"/>
        <v>November</v>
      </c>
      <c r="C442" s="2" t="s">
        <v>9</v>
      </c>
      <c r="D442" s="2" t="str">
        <f t="shared" si="2"/>
        <v>Monterrey</v>
      </c>
      <c r="E442" s="2" t="s">
        <v>312</v>
      </c>
      <c r="F442" s="2" t="str">
        <f>IFERROR(__xludf.DUMMYFUNCTION("SPLIT(E442, ""-"")"),"Teléfono")</f>
        <v>Teléfono</v>
      </c>
      <c r="G442" s="2" t="str">
        <f>IFERROR(__xludf.DUMMYFUNCTION("""COMPUTED_VALUE"""),"Gama baja")</f>
        <v>Gama baja</v>
      </c>
      <c r="H442" s="2" t="str">
        <f>IFERROR(__xludf.DUMMYFUNCTION("""COMPUTED_VALUE"""),"8GB")</f>
        <v>8GB</v>
      </c>
      <c r="I442" s="17">
        <v>1249.46</v>
      </c>
      <c r="J442" s="6">
        <v>1.0</v>
      </c>
      <c r="K442" s="17">
        <v>1249.46</v>
      </c>
      <c r="L442" s="2" t="s">
        <v>1392</v>
      </c>
      <c r="M442" s="2" t="s">
        <v>1393</v>
      </c>
      <c r="N442" s="8" t="s">
        <v>1394</v>
      </c>
    </row>
    <row r="443" ht="15.75" customHeight="1">
      <c r="A443" s="18">
        <v>45618.0</v>
      </c>
      <c r="B443" s="16" t="str">
        <f t="shared" si="1"/>
        <v>November</v>
      </c>
      <c r="C443" s="2" t="s">
        <v>34</v>
      </c>
      <c r="D443" s="2" t="str">
        <f t="shared" si="2"/>
        <v>Medellín</v>
      </c>
      <c r="E443" s="2" t="s">
        <v>15</v>
      </c>
      <c r="F443" s="2" t="str">
        <f>IFERROR(__xludf.DUMMYFUNCTION("SPLIT(E443, ""-"")"),"Auriculares")</f>
        <v>Auriculares</v>
      </c>
      <c r="G443" s="2" t="str">
        <f>IFERROR(__xludf.DUMMYFUNCTION("""COMPUTED_VALUE"""),"Con cable")</f>
        <v>Con cable</v>
      </c>
      <c r="H443" s="2" t="str">
        <f>IFERROR(__xludf.DUMMYFUNCTION("""COMPUTED_VALUE"""),"32GB")</f>
        <v>32GB</v>
      </c>
      <c r="I443" s="17">
        <v>463.17</v>
      </c>
      <c r="J443" s="6">
        <v>3.0</v>
      </c>
      <c r="K443" s="17">
        <v>1389.51</v>
      </c>
      <c r="L443" s="2" t="s">
        <v>1395</v>
      </c>
      <c r="M443" s="2" t="s">
        <v>1396</v>
      </c>
      <c r="N443" s="2" t="s">
        <v>1397</v>
      </c>
    </row>
    <row r="444" ht="15.75" customHeight="1">
      <c r="A444" s="18">
        <v>45618.0</v>
      </c>
      <c r="B444" s="16" t="str">
        <f t="shared" si="1"/>
        <v>November</v>
      </c>
      <c r="C444" s="2" t="s">
        <v>14</v>
      </c>
      <c r="D444" s="2" t="str">
        <f t="shared" si="2"/>
        <v>Bogotá</v>
      </c>
      <c r="E444" s="2" t="s">
        <v>10</v>
      </c>
      <c r="F444" s="2" t="str">
        <f>IFERROR(__xludf.DUMMYFUNCTION("SPLIT(E444, ""-"")"),"Tablet")</f>
        <v>Tablet</v>
      </c>
      <c r="G444" s="2" t="str">
        <f>IFERROR(__xludf.DUMMYFUNCTION("""COMPUTED_VALUE"""),"Estándar")</f>
        <v>Estándar</v>
      </c>
      <c r="H444" s="2" t="str">
        <f>IFERROR(__xludf.DUMMYFUNCTION("""COMPUTED_VALUE"""),"8GB")</f>
        <v>8GB</v>
      </c>
      <c r="I444" s="17">
        <v>776.93</v>
      </c>
      <c r="J444" s="6">
        <v>1.0</v>
      </c>
      <c r="K444" s="17">
        <v>776.93</v>
      </c>
      <c r="L444" s="2" t="s">
        <v>1398</v>
      </c>
      <c r="M444" s="2" t="s">
        <v>1399</v>
      </c>
      <c r="N444" s="2" t="s">
        <v>1400</v>
      </c>
    </row>
    <row r="445" ht="15.75" customHeight="1">
      <c r="A445" s="18">
        <v>45619.0</v>
      </c>
      <c r="B445" s="16" t="str">
        <f t="shared" si="1"/>
        <v>November</v>
      </c>
      <c r="C445" s="2" t="s">
        <v>74</v>
      </c>
      <c r="D445" s="2" t="str">
        <f t="shared" si="2"/>
        <v>Cali</v>
      </c>
      <c r="E445" s="2" t="s">
        <v>279</v>
      </c>
      <c r="F445" s="2" t="str">
        <f>IFERROR(__xludf.DUMMYFUNCTION("SPLIT(E445, ""-"")"),"Tablet")</f>
        <v>Tablet</v>
      </c>
      <c r="G445" s="2" t="str">
        <f>IFERROR(__xludf.DUMMYFUNCTION("""COMPUTED_VALUE"""),"Pro")</f>
        <v>Pro</v>
      </c>
      <c r="H445" s="2" t="str">
        <f>IFERROR(__xludf.DUMMYFUNCTION("""COMPUTED_VALUE"""),"16GB")</f>
        <v>16GB</v>
      </c>
      <c r="I445" s="17">
        <v>405.62</v>
      </c>
      <c r="J445" s="6">
        <v>4.0</v>
      </c>
      <c r="K445" s="17">
        <v>1622.48</v>
      </c>
      <c r="L445" s="2" t="s">
        <v>1401</v>
      </c>
      <c r="M445" s="2" t="s">
        <v>1402</v>
      </c>
      <c r="N445" s="2" t="s">
        <v>1403</v>
      </c>
    </row>
    <row r="446" ht="15.75" customHeight="1">
      <c r="A446" s="18">
        <v>45619.0</v>
      </c>
      <c r="B446" s="16" t="str">
        <f t="shared" si="1"/>
        <v>November</v>
      </c>
      <c r="C446" s="2" t="s">
        <v>57</v>
      </c>
      <c r="D446" s="2" t="str">
        <f t="shared" si="2"/>
        <v>Guadalajara</v>
      </c>
      <c r="E446" s="2" t="s">
        <v>119</v>
      </c>
      <c r="F446" s="2" t="str">
        <f>IFERROR(__xludf.DUMMYFUNCTION("SPLIT(E446, ""-"")"),"Teléfono")</f>
        <v>Teléfono</v>
      </c>
      <c r="G446" s="2" t="str">
        <f>IFERROR(__xludf.DUMMYFUNCTION("""COMPUTED_VALUE"""),"Gama alta")</f>
        <v>Gama alta</v>
      </c>
      <c r="H446" s="2" t="str">
        <f>IFERROR(__xludf.DUMMYFUNCTION("""COMPUTED_VALUE"""),"8GB")</f>
        <v>8GB</v>
      </c>
      <c r="I446" s="20">
        <f>K446/J446</f>
        <v>1659.54</v>
      </c>
      <c r="J446" s="6">
        <v>3.0</v>
      </c>
      <c r="K446" s="17">
        <v>4978.62</v>
      </c>
      <c r="L446" s="2" t="s">
        <v>1404</v>
      </c>
      <c r="M446" s="2" t="s">
        <v>1405</v>
      </c>
      <c r="N446" s="8" t="s">
        <v>1406</v>
      </c>
    </row>
    <row r="447" ht="15.75" customHeight="1">
      <c r="A447" s="18">
        <v>45619.0</v>
      </c>
      <c r="B447" s="16" t="str">
        <f t="shared" si="1"/>
        <v>November</v>
      </c>
      <c r="C447" s="3" t="s">
        <v>29</v>
      </c>
      <c r="D447" s="2" t="str">
        <f t="shared" si="2"/>
        <v>Ciudad De Mexico</v>
      </c>
      <c r="E447" s="2" t="s">
        <v>92</v>
      </c>
      <c r="F447" s="2" t="str">
        <f>IFERROR(__xludf.DUMMYFUNCTION("SPLIT(E447, ""-"")"),"Tablet")</f>
        <v>Tablet</v>
      </c>
      <c r="G447" s="2" t="str">
        <f>IFERROR(__xludf.DUMMYFUNCTION("""COMPUTED_VALUE"""),"Mini")</f>
        <v>Mini</v>
      </c>
      <c r="H447" s="2" t="str">
        <f>IFERROR(__xludf.DUMMYFUNCTION("""COMPUTED_VALUE"""),"8GB")</f>
        <v>8GB</v>
      </c>
      <c r="I447" s="17">
        <v>1848.95</v>
      </c>
      <c r="J447" s="6">
        <v>3.0</v>
      </c>
      <c r="K447" s="17">
        <v>5546.85</v>
      </c>
      <c r="L447" s="2" t="s">
        <v>1407</v>
      </c>
      <c r="M447" s="2" t="s">
        <v>1408</v>
      </c>
      <c r="N447" s="2" t="s">
        <v>1409</v>
      </c>
    </row>
    <row r="448" ht="15.75" customHeight="1">
      <c r="A448" s="18">
        <v>45619.0</v>
      </c>
      <c r="B448" s="16" t="str">
        <f t="shared" si="1"/>
        <v>November</v>
      </c>
      <c r="C448" s="2" t="s">
        <v>57</v>
      </c>
      <c r="D448" s="2" t="str">
        <f t="shared" si="2"/>
        <v>Guadalajara</v>
      </c>
      <c r="E448" s="2" t="s">
        <v>130</v>
      </c>
      <c r="F448" s="2" t="str">
        <f>IFERROR(__xludf.DUMMYFUNCTION("SPLIT(E448, ""-"")"),"Tablet")</f>
        <v>Tablet</v>
      </c>
      <c r="G448" s="2" t="str">
        <f>IFERROR(__xludf.DUMMYFUNCTION("""COMPUTED_VALUE"""),"Pro")</f>
        <v>Pro</v>
      </c>
      <c r="H448" s="2" t="str">
        <f>IFERROR(__xludf.DUMMYFUNCTION("""COMPUTED_VALUE"""),"8GB")</f>
        <v>8GB</v>
      </c>
      <c r="I448" s="17">
        <v>793.75</v>
      </c>
      <c r="J448" s="6">
        <v>1.0</v>
      </c>
      <c r="K448" s="17">
        <v>793.75</v>
      </c>
      <c r="L448" s="2" t="s">
        <v>1410</v>
      </c>
      <c r="M448" s="2" t="s">
        <v>1411</v>
      </c>
      <c r="N448" s="2" t="s">
        <v>1412</v>
      </c>
    </row>
    <row r="449" ht="15.75" customHeight="1">
      <c r="A449" s="18">
        <v>45619.0</v>
      </c>
      <c r="B449" s="16" t="str">
        <f t="shared" si="1"/>
        <v>November</v>
      </c>
      <c r="C449" s="2" t="s">
        <v>74</v>
      </c>
      <c r="D449" s="2" t="str">
        <f t="shared" si="2"/>
        <v>Cali</v>
      </c>
      <c r="E449" s="2" t="s">
        <v>161</v>
      </c>
      <c r="F449" s="2" t="str">
        <f>IFERROR(__xludf.DUMMYFUNCTION("SPLIT(E449, ""-"")"),"Laptop")</f>
        <v>Laptop</v>
      </c>
      <c r="G449" s="2" t="str">
        <f>IFERROR(__xludf.DUMMYFUNCTION("""COMPUTED_VALUE"""),"Oficina")</f>
        <v>Oficina</v>
      </c>
      <c r="H449" s="2" t="str">
        <f>IFERROR(__xludf.DUMMYFUNCTION("""COMPUTED_VALUE"""),"32GB")</f>
        <v>32GB</v>
      </c>
      <c r="I449" s="17">
        <v>919.27</v>
      </c>
      <c r="J449" s="6">
        <v>2.0</v>
      </c>
      <c r="K449" s="17">
        <v>1838.54</v>
      </c>
      <c r="L449" s="2" t="s">
        <v>1413</v>
      </c>
      <c r="M449" s="2" t="s">
        <v>1414</v>
      </c>
      <c r="N449" s="2" t="s">
        <v>1415</v>
      </c>
    </row>
    <row r="450" ht="15.75" customHeight="1">
      <c r="A450" s="18">
        <v>45619.0</v>
      </c>
      <c r="B450" s="16" t="str">
        <f t="shared" si="1"/>
        <v>November</v>
      </c>
      <c r="C450" s="2" t="s">
        <v>74</v>
      </c>
      <c r="D450" s="2" t="str">
        <f t="shared" si="2"/>
        <v>Cali</v>
      </c>
      <c r="E450" s="2" t="s">
        <v>83</v>
      </c>
      <c r="F450" s="2" t="str">
        <f>IFERROR(__xludf.DUMMYFUNCTION("SPLIT(E450, ""-"")"),"Teléfono")</f>
        <v>Teléfono</v>
      </c>
      <c r="G450" s="2" t="str">
        <f>IFERROR(__xludf.DUMMYFUNCTION("""COMPUTED_VALUE"""),"Gama media")</f>
        <v>Gama media</v>
      </c>
      <c r="H450" s="2" t="str">
        <f>IFERROR(__xludf.DUMMYFUNCTION("""COMPUTED_VALUE"""),"32GB")</f>
        <v>32GB</v>
      </c>
      <c r="I450" s="17">
        <v>807.71</v>
      </c>
      <c r="J450" s="6">
        <v>3.0</v>
      </c>
      <c r="K450" s="17">
        <v>2423.13</v>
      </c>
      <c r="L450" s="2" t="s">
        <v>1416</v>
      </c>
      <c r="M450" s="2" t="s">
        <v>1417</v>
      </c>
      <c r="N450" s="2" t="s">
        <v>1418</v>
      </c>
    </row>
    <row r="451" ht="15.75" customHeight="1">
      <c r="A451" s="18">
        <v>45619.0</v>
      </c>
      <c r="B451" s="16" t="str">
        <f t="shared" si="1"/>
        <v>November</v>
      </c>
      <c r="C451" s="2" t="s">
        <v>14</v>
      </c>
      <c r="D451" s="2" t="str">
        <f t="shared" si="2"/>
        <v>Bogotá</v>
      </c>
      <c r="E451" s="2" t="s">
        <v>151</v>
      </c>
      <c r="F451" s="2" t="str">
        <f>IFERROR(__xludf.DUMMYFUNCTION("SPLIT(E451, ""-"")"),"Laptop")</f>
        <v>Laptop</v>
      </c>
      <c r="G451" s="2" t="str">
        <f>IFERROR(__xludf.DUMMYFUNCTION("""COMPUTED_VALUE"""),"Gaming")</f>
        <v>Gaming</v>
      </c>
      <c r="H451" s="2" t="str">
        <f>IFERROR(__xludf.DUMMYFUNCTION("""COMPUTED_VALUE"""),"8GB")</f>
        <v>8GB</v>
      </c>
      <c r="I451" s="17">
        <v>1768.49</v>
      </c>
      <c r="J451" s="6">
        <v>2.0</v>
      </c>
      <c r="K451" s="17">
        <v>3536.98</v>
      </c>
      <c r="L451" s="2" t="s">
        <v>1419</v>
      </c>
      <c r="M451" s="2" t="s">
        <v>1420</v>
      </c>
      <c r="N451" s="2" t="s">
        <v>1421</v>
      </c>
    </row>
    <row r="452" ht="15.75" customHeight="1">
      <c r="A452" s="18">
        <v>45619.0</v>
      </c>
      <c r="B452" s="16" t="str">
        <f t="shared" si="1"/>
        <v>November</v>
      </c>
      <c r="C452" s="2" t="s">
        <v>34</v>
      </c>
      <c r="D452" s="2" t="str">
        <f t="shared" si="2"/>
        <v>Medellín</v>
      </c>
      <c r="E452" s="2" t="s">
        <v>137</v>
      </c>
      <c r="F452" s="2" t="str">
        <f>IFERROR(__xludf.DUMMYFUNCTION("SPLIT(E452, ""-"")"),"Auriculares")</f>
        <v>Auriculares</v>
      </c>
      <c r="G452" s="2" t="str">
        <f>IFERROR(__xludf.DUMMYFUNCTION("""COMPUTED_VALUE"""),"Con cable")</f>
        <v>Con cable</v>
      </c>
      <c r="H452" s="2" t="str">
        <f>IFERROR(__xludf.DUMMYFUNCTION("""COMPUTED_VALUE"""),"16GB")</f>
        <v>16GB</v>
      </c>
      <c r="I452" s="17">
        <v>2009.76</v>
      </c>
      <c r="J452" s="6">
        <v>1.0</v>
      </c>
      <c r="K452" s="17">
        <v>2009.76</v>
      </c>
      <c r="L452" s="2" t="s">
        <v>1422</v>
      </c>
      <c r="M452" s="2" t="s">
        <v>1423</v>
      </c>
      <c r="N452" s="2" t="s">
        <v>1424</v>
      </c>
    </row>
    <row r="453" ht="15.75" customHeight="1">
      <c r="A453" s="18">
        <v>45619.0</v>
      </c>
      <c r="B453" s="16" t="str">
        <f t="shared" si="1"/>
        <v>November</v>
      </c>
      <c r="C453" s="2" t="s">
        <v>74</v>
      </c>
      <c r="D453" s="2" t="str">
        <f t="shared" si="2"/>
        <v>Cali</v>
      </c>
      <c r="E453" s="2" t="s">
        <v>279</v>
      </c>
      <c r="F453" s="2" t="str">
        <f>IFERROR(__xludf.DUMMYFUNCTION("SPLIT(E453, ""-"")"),"Tablet")</f>
        <v>Tablet</v>
      </c>
      <c r="G453" s="2" t="str">
        <f>IFERROR(__xludf.DUMMYFUNCTION("""COMPUTED_VALUE"""),"Pro")</f>
        <v>Pro</v>
      </c>
      <c r="H453" s="2" t="str">
        <f>IFERROR(__xludf.DUMMYFUNCTION("""COMPUTED_VALUE"""),"16GB")</f>
        <v>16GB</v>
      </c>
      <c r="I453" s="17">
        <v>72.37</v>
      </c>
      <c r="J453" s="6">
        <v>4.0</v>
      </c>
      <c r="K453" s="17">
        <v>289.48</v>
      </c>
      <c r="L453" s="2" t="s">
        <v>1425</v>
      </c>
      <c r="M453" s="2" t="s">
        <v>1426</v>
      </c>
      <c r="N453" s="2" t="s">
        <v>1427</v>
      </c>
    </row>
    <row r="454" ht="15.75" customHeight="1">
      <c r="A454" s="18">
        <v>45620.0</v>
      </c>
      <c r="B454" s="16" t="str">
        <f t="shared" si="1"/>
        <v>November</v>
      </c>
      <c r="C454" s="2" t="s">
        <v>14</v>
      </c>
      <c r="D454" s="2" t="str">
        <f t="shared" si="2"/>
        <v>Bogotá</v>
      </c>
      <c r="E454" s="2" t="s">
        <v>386</v>
      </c>
      <c r="F454" s="2" t="str">
        <f>IFERROR(__xludf.DUMMYFUNCTION("SPLIT(E454, ""-"")"),"Auriculares")</f>
        <v>Auriculares</v>
      </c>
      <c r="G454" s="2" t="str">
        <f>IFERROR(__xludf.DUMMYFUNCTION("""COMPUTED_VALUE"""),"Cancelación de ruido")</f>
        <v>Cancelación de ruido</v>
      </c>
      <c r="H454" s="2" t="str">
        <f>IFERROR(__xludf.DUMMYFUNCTION("""COMPUTED_VALUE"""),"4GB")</f>
        <v>4GB</v>
      </c>
      <c r="I454" s="17">
        <v>443.81</v>
      </c>
      <c r="J454" s="6">
        <v>1.0</v>
      </c>
      <c r="K454" s="17">
        <v>443.81</v>
      </c>
      <c r="L454" s="2" t="s">
        <v>1428</v>
      </c>
      <c r="M454" s="2" t="s">
        <v>1429</v>
      </c>
      <c r="N454" s="8" t="s">
        <v>1430</v>
      </c>
    </row>
    <row r="455" ht="15.75" customHeight="1">
      <c r="A455" s="18">
        <v>45620.0</v>
      </c>
      <c r="B455" s="16" t="str">
        <f t="shared" si="1"/>
        <v>November</v>
      </c>
      <c r="C455" s="2" t="s">
        <v>9</v>
      </c>
      <c r="D455" s="2" t="str">
        <f t="shared" si="2"/>
        <v>Monterrey</v>
      </c>
      <c r="E455" s="2" t="s">
        <v>226</v>
      </c>
      <c r="F455" s="2" t="str">
        <f>IFERROR(__xludf.DUMMYFUNCTION("SPLIT(E455, ""-"")"),"Laptop")</f>
        <v>Laptop</v>
      </c>
      <c r="G455" s="2" t="str">
        <f>IFERROR(__xludf.DUMMYFUNCTION("""COMPUTED_VALUE"""),"Oficina")</f>
        <v>Oficina</v>
      </c>
      <c r="H455" s="2" t="str">
        <f>IFERROR(__xludf.DUMMYFUNCTION("""COMPUTED_VALUE"""),"4GB")</f>
        <v>4GB</v>
      </c>
      <c r="I455" s="17">
        <v>1628.77</v>
      </c>
      <c r="J455" s="6">
        <v>4.0</v>
      </c>
      <c r="K455" s="17">
        <v>6515.08</v>
      </c>
      <c r="L455" s="2" t="s">
        <v>1431</v>
      </c>
      <c r="M455" s="2" t="s">
        <v>1432</v>
      </c>
      <c r="N455" s="2" t="s">
        <v>1433</v>
      </c>
    </row>
    <row r="456" ht="15.75" customHeight="1">
      <c r="A456" s="18">
        <v>45620.0</v>
      </c>
      <c r="B456" s="16" t="str">
        <f t="shared" si="1"/>
        <v>November</v>
      </c>
      <c r="C456" s="3" t="s">
        <v>29</v>
      </c>
      <c r="D456" s="2" t="str">
        <f t="shared" si="2"/>
        <v>Ciudad De Mexico</v>
      </c>
      <c r="E456" s="2" t="s">
        <v>165</v>
      </c>
      <c r="F456" s="2" t="str">
        <f>IFERROR(__xludf.DUMMYFUNCTION("SPLIT(E456, ""-"")"),"Auriculares")</f>
        <v>Auriculares</v>
      </c>
      <c r="G456" s="2" t="str">
        <f>IFERROR(__xludf.DUMMYFUNCTION("""COMPUTED_VALUE"""),"Bluetooth")</f>
        <v>Bluetooth</v>
      </c>
      <c r="H456" s="2" t="str">
        <f>IFERROR(__xludf.DUMMYFUNCTION("""COMPUTED_VALUE"""),"32GB")</f>
        <v>32GB</v>
      </c>
      <c r="I456" s="17">
        <v>1752.21</v>
      </c>
      <c r="J456" s="6">
        <v>4.0</v>
      </c>
      <c r="K456" s="17">
        <v>7008.84</v>
      </c>
      <c r="L456" s="2" t="s">
        <v>1434</v>
      </c>
      <c r="M456" s="2" t="s">
        <v>1435</v>
      </c>
      <c r="N456" s="2" t="s">
        <v>1436</v>
      </c>
    </row>
    <row r="457" ht="15.75" customHeight="1">
      <c r="A457" s="18">
        <v>45620.0</v>
      </c>
      <c r="B457" s="16" t="str">
        <f t="shared" si="1"/>
        <v>November</v>
      </c>
      <c r="C457" s="2" t="s">
        <v>74</v>
      </c>
      <c r="D457" s="2" t="str">
        <f t="shared" si="2"/>
        <v>Cali</v>
      </c>
      <c r="E457" s="2" t="s">
        <v>79</v>
      </c>
      <c r="F457" s="2" t="str">
        <f>IFERROR(__xludf.DUMMYFUNCTION("SPLIT(E457, ""-"")"),"Laptop")</f>
        <v>Laptop</v>
      </c>
      <c r="G457" s="2" t="str">
        <f>IFERROR(__xludf.DUMMYFUNCTION("""COMPUTED_VALUE"""),"Oficina")</f>
        <v>Oficina</v>
      </c>
      <c r="H457" s="2" t="str">
        <f>IFERROR(__xludf.DUMMYFUNCTION("""COMPUTED_VALUE"""),"16GB")</f>
        <v>16GB</v>
      </c>
      <c r="I457" s="17">
        <v>649.99</v>
      </c>
      <c r="J457" s="6">
        <v>2.0</v>
      </c>
      <c r="K457" s="17">
        <v>1299.98</v>
      </c>
      <c r="L457" s="2" t="s">
        <v>1437</v>
      </c>
      <c r="M457" s="2" t="s">
        <v>1438</v>
      </c>
      <c r="N457" s="2" t="s">
        <v>1439</v>
      </c>
    </row>
    <row r="458" ht="15.75" customHeight="1">
      <c r="A458" s="18">
        <v>45620.0</v>
      </c>
      <c r="B458" s="16" t="str">
        <f t="shared" si="1"/>
        <v>November</v>
      </c>
      <c r="C458" s="3" t="s">
        <v>29</v>
      </c>
      <c r="D458" s="2" t="str">
        <f t="shared" si="2"/>
        <v>Ciudad De Mexico</v>
      </c>
      <c r="E458" s="2" t="s">
        <v>62</v>
      </c>
      <c r="F458" s="2" t="str">
        <f>IFERROR(__xludf.DUMMYFUNCTION("SPLIT(E458, ""-"")"),"Laptop")</f>
        <v>Laptop</v>
      </c>
      <c r="G458" s="2" t="str">
        <f>IFERROR(__xludf.DUMMYFUNCTION("""COMPUTED_VALUE"""),"Ultraliviana")</f>
        <v>Ultraliviana</v>
      </c>
      <c r="H458" s="2" t="str">
        <f>IFERROR(__xludf.DUMMYFUNCTION("""COMPUTED_VALUE"""),"4GB")</f>
        <v>4GB</v>
      </c>
      <c r="I458" s="17">
        <v>1768.85</v>
      </c>
      <c r="J458" s="6">
        <v>5.0</v>
      </c>
      <c r="K458" s="17">
        <v>8844.25</v>
      </c>
      <c r="L458" s="2" t="s">
        <v>1440</v>
      </c>
      <c r="M458" s="2" t="s">
        <v>1441</v>
      </c>
      <c r="N458" s="2" t="s">
        <v>1442</v>
      </c>
    </row>
    <row r="459" ht="15.75" customHeight="1">
      <c r="A459" s="18">
        <v>45620.0</v>
      </c>
      <c r="B459" s="16" t="str">
        <f t="shared" si="1"/>
        <v>November</v>
      </c>
      <c r="C459" s="2" t="s">
        <v>74</v>
      </c>
      <c r="D459" s="2" t="str">
        <f t="shared" si="2"/>
        <v>Cali</v>
      </c>
      <c r="E459" s="2" t="s">
        <v>215</v>
      </c>
      <c r="F459" s="2" t="str">
        <f>IFERROR(__xludf.DUMMYFUNCTION("SPLIT(E459, ""-"")"),"Teléfono")</f>
        <v>Teléfono</v>
      </c>
      <c r="G459" s="2" t="str">
        <f>IFERROR(__xludf.DUMMYFUNCTION("""COMPUTED_VALUE"""),"Gama media")</f>
        <v>Gama media</v>
      </c>
      <c r="H459" s="2" t="str">
        <f>IFERROR(__xludf.DUMMYFUNCTION("""COMPUTED_VALUE"""),"4GB")</f>
        <v>4GB</v>
      </c>
      <c r="I459" s="17">
        <v>103.69</v>
      </c>
      <c r="J459" s="6">
        <v>5.0</v>
      </c>
      <c r="K459" s="17">
        <v>518.45</v>
      </c>
      <c r="L459" s="2" t="s">
        <v>1443</v>
      </c>
      <c r="M459" s="2" t="s">
        <v>1444</v>
      </c>
      <c r="N459" s="2" t="s">
        <v>1445</v>
      </c>
    </row>
    <row r="460" ht="15.75" customHeight="1">
      <c r="A460" s="18">
        <v>45620.0</v>
      </c>
      <c r="B460" s="16" t="str">
        <f t="shared" si="1"/>
        <v>November</v>
      </c>
      <c r="C460" s="2" t="s">
        <v>14</v>
      </c>
      <c r="D460" s="2" t="str">
        <f t="shared" si="2"/>
        <v>Bogotá</v>
      </c>
      <c r="E460" s="2" t="s">
        <v>179</v>
      </c>
      <c r="F460" s="2" t="str">
        <f>IFERROR(__xludf.DUMMYFUNCTION("SPLIT(E460, ""-"")"),"Tablet")</f>
        <v>Tablet</v>
      </c>
      <c r="G460" s="2" t="str">
        <f>IFERROR(__xludf.DUMMYFUNCTION("""COMPUTED_VALUE"""),"Mini")</f>
        <v>Mini</v>
      </c>
      <c r="H460" s="2" t="str">
        <f>IFERROR(__xludf.DUMMYFUNCTION("""COMPUTED_VALUE"""),"4GB")</f>
        <v>4GB</v>
      </c>
      <c r="I460" s="17">
        <v>2028.12</v>
      </c>
      <c r="J460" s="6">
        <v>5.0</v>
      </c>
      <c r="K460" s="17">
        <v>10140.6</v>
      </c>
      <c r="L460" s="2" t="s">
        <v>1446</v>
      </c>
      <c r="M460" s="2" t="s">
        <v>1447</v>
      </c>
      <c r="N460" s="2" t="s">
        <v>1448</v>
      </c>
    </row>
    <row r="461" ht="15.75" customHeight="1">
      <c r="A461" s="18">
        <v>45620.0</v>
      </c>
      <c r="B461" s="16" t="str">
        <f t="shared" si="1"/>
        <v>November</v>
      </c>
      <c r="C461" s="2" t="s">
        <v>14</v>
      </c>
      <c r="D461" s="2" t="str">
        <f t="shared" si="2"/>
        <v>Bogotá</v>
      </c>
      <c r="E461" s="2" t="s">
        <v>179</v>
      </c>
      <c r="F461" s="2" t="str">
        <f>IFERROR(__xludf.DUMMYFUNCTION("SPLIT(E461, ""-"")"),"Tablet")</f>
        <v>Tablet</v>
      </c>
      <c r="G461" s="2" t="str">
        <f>IFERROR(__xludf.DUMMYFUNCTION("""COMPUTED_VALUE"""),"Mini")</f>
        <v>Mini</v>
      </c>
      <c r="H461" s="2" t="str">
        <f>IFERROR(__xludf.DUMMYFUNCTION("""COMPUTED_VALUE"""),"4GB")</f>
        <v>4GB</v>
      </c>
      <c r="I461" s="17">
        <v>428.02</v>
      </c>
      <c r="J461" s="6">
        <v>3.0</v>
      </c>
      <c r="K461" s="17">
        <v>1284.06</v>
      </c>
      <c r="L461" s="2" t="s">
        <v>1449</v>
      </c>
      <c r="M461" s="2" t="s">
        <v>1450</v>
      </c>
      <c r="N461" s="2" t="s">
        <v>1451</v>
      </c>
    </row>
    <row r="462" ht="15.75" customHeight="1">
      <c r="A462" s="18">
        <v>45620.0</v>
      </c>
      <c r="B462" s="16" t="str">
        <f t="shared" si="1"/>
        <v>November</v>
      </c>
      <c r="C462" s="2" t="s">
        <v>9</v>
      </c>
      <c r="D462" s="2" t="str">
        <f t="shared" si="2"/>
        <v>Monterrey</v>
      </c>
      <c r="E462" s="2" t="s">
        <v>427</v>
      </c>
      <c r="F462" s="2" t="str">
        <f>IFERROR(__xludf.DUMMYFUNCTION("SPLIT(E462, ""-"")"),"Teléfono")</f>
        <v>Teléfono</v>
      </c>
      <c r="G462" s="2" t="str">
        <f>IFERROR(__xludf.DUMMYFUNCTION("""COMPUTED_VALUE"""),"Gama alta")</f>
        <v>Gama alta</v>
      </c>
      <c r="H462" s="2" t="str">
        <f>IFERROR(__xludf.DUMMYFUNCTION("""COMPUTED_VALUE"""),"4GB")</f>
        <v>4GB</v>
      </c>
      <c r="I462" s="17">
        <v>1880.14</v>
      </c>
      <c r="J462" s="6">
        <v>1.0</v>
      </c>
      <c r="K462" s="17">
        <v>1880.14</v>
      </c>
      <c r="L462" s="2" t="s">
        <v>1452</v>
      </c>
      <c r="M462" s="2" t="s">
        <v>1453</v>
      </c>
      <c r="N462" s="2" t="s">
        <v>1454</v>
      </c>
    </row>
    <row r="463" ht="15.75" customHeight="1">
      <c r="A463" s="18">
        <v>45621.0</v>
      </c>
      <c r="B463" s="16" t="str">
        <f t="shared" si="1"/>
        <v>November</v>
      </c>
      <c r="C463" s="2" t="s">
        <v>34</v>
      </c>
      <c r="D463" s="2" t="str">
        <f t="shared" si="2"/>
        <v>Medellín</v>
      </c>
      <c r="E463" s="2" t="s">
        <v>137</v>
      </c>
      <c r="F463" s="2" t="str">
        <f>IFERROR(__xludf.DUMMYFUNCTION("SPLIT(E463, ""-"")"),"Auriculares")</f>
        <v>Auriculares</v>
      </c>
      <c r="G463" s="2" t="str">
        <f>IFERROR(__xludf.DUMMYFUNCTION("""COMPUTED_VALUE"""),"Con cable")</f>
        <v>Con cable</v>
      </c>
      <c r="H463" s="2" t="str">
        <f>IFERROR(__xludf.DUMMYFUNCTION("""COMPUTED_VALUE"""),"16GB")</f>
        <v>16GB</v>
      </c>
      <c r="I463" s="17">
        <v>1061.61</v>
      </c>
      <c r="J463" s="6">
        <v>1.0</v>
      </c>
      <c r="K463" s="17">
        <v>1061.61</v>
      </c>
      <c r="L463" s="2" t="s">
        <v>1455</v>
      </c>
      <c r="M463" s="2" t="s">
        <v>1456</v>
      </c>
      <c r="N463" s="2" t="s">
        <v>1457</v>
      </c>
    </row>
    <row r="464" ht="15.75" customHeight="1">
      <c r="A464" s="18">
        <v>45621.0</v>
      </c>
      <c r="B464" s="16" t="str">
        <f t="shared" si="1"/>
        <v>November</v>
      </c>
      <c r="C464" s="2" t="s">
        <v>57</v>
      </c>
      <c r="D464" s="2" t="str">
        <f t="shared" si="2"/>
        <v>Guadalajara</v>
      </c>
      <c r="E464" s="2" t="s">
        <v>70</v>
      </c>
      <c r="F464" s="2" t="str">
        <f>IFERROR(__xludf.DUMMYFUNCTION("SPLIT(E464, ""-"")"),"Auriculares")</f>
        <v>Auriculares</v>
      </c>
      <c r="G464" s="2" t="str">
        <f>IFERROR(__xludf.DUMMYFUNCTION("""COMPUTED_VALUE"""),"Bluetooth")</f>
        <v>Bluetooth</v>
      </c>
      <c r="H464" s="2" t="str">
        <f>IFERROR(__xludf.DUMMYFUNCTION("""COMPUTED_VALUE"""),"16GB")</f>
        <v>16GB</v>
      </c>
      <c r="I464" s="17">
        <v>564.69</v>
      </c>
      <c r="J464" s="6">
        <v>2.0</v>
      </c>
      <c r="K464" s="17">
        <v>1129.38</v>
      </c>
      <c r="L464" s="2" t="s">
        <v>1458</v>
      </c>
      <c r="M464" s="2" t="s">
        <v>1459</v>
      </c>
      <c r="N464" s="2" t="s">
        <v>1460</v>
      </c>
    </row>
    <row r="465" ht="15.75" customHeight="1">
      <c r="A465" s="18">
        <v>45621.0</v>
      </c>
      <c r="B465" s="16" t="str">
        <f t="shared" si="1"/>
        <v>November</v>
      </c>
      <c r="C465" s="2" t="s">
        <v>14</v>
      </c>
      <c r="D465" s="2" t="str">
        <f t="shared" si="2"/>
        <v>Bogotá</v>
      </c>
      <c r="E465" s="21" t="s">
        <v>2340</v>
      </c>
      <c r="F465" s="2" t="str">
        <f>IFERROR(__xludf.DUMMYFUNCTION("SPLIT(E465, ""-"")"),"Teléfono")</f>
        <v>Teléfono</v>
      </c>
      <c r="G465" s="2" t="str">
        <f>IFERROR(__xludf.DUMMYFUNCTION("""COMPUTED_VALUE"""),"Gama media")</f>
        <v>Gama media</v>
      </c>
      <c r="H465" s="2" t="str">
        <f>IFERROR(__xludf.DUMMYFUNCTION("""COMPUTED_VALUE"""),"8GB")</f>
        <v>8GB</v>
      </c>
      <c r="I465" s="17">
        <v>1847.8</v>
      </c>
      <c r="J465" s="6">
        <v>3.0</v>
      </c>
      <c r="K465" s="17">
        <v>5543.4</v>
      </c>
      <c r="L465" s="2" t="s">
        <v>1461</v>
      </c>
      <c r="M465" s="2" t="s">
        <v>1462</v>
      </c>
      <c r="N465" s="2" t="s">
        <v>1463</v>
      </c>
    </row>
    <row r="466" ht="15.75" customHeight="1">
      <c r="A466" s="18">
        <v>45621.0</v>
      </c>
      <c r="B466" s="16" t="str">
        <f t="shared" si="1"/>
        <v>November</v>
      </c>
      <c r="C466" s="2" t="s">
        <v>74</v>
      </c>
      <c r="D466" s="2" t="str">
        <f t="shared" si="2"/>
        <v>Cali</v>
      </c>
      <c r="E466" s="2" t="s">
        <v>137</v>
      </c>
      <c r="F466" s="2" t="str">
        <f>IFERROR(__xludf.DUMMYFUNCTION("SPLIT(E466, ""-"")"),"Auriculares")</f>
        <v>Auriculares</v>
      </c>
      <c r="G466" s="2" t="str">
        <f>IFERROR(__xludf.DUMMYFUNCTION("""COMPUTED_VALUE"""),"Con cable")</f>
        <v>Con cable</v>
      </c>
      <c r="H466" s="2" t="str">
        <f>IFERROR(__xludf.DUMMYFUNCTION("""COMPUTED_VALUE"""),"16GB")</f>
        <v>16GB</v>
      </c>
      <c r="I466" s="17">
        <v>2476.21</v>
      </c>
      <c r="J466" s="6">
        <v>5.0</v>
      </c>
      <c r="K466" s="17">
        <v>12381.05</v>
      </c>
      <c r="L466" s="2" t="s">
        <v>1464</v>
      </c>
      <c r="M466" s="2" t="s">
        <v>1465</v>
      </c>
      <c r="N466" s="2" t="s">
        <v>1466</v>
      </c>
    </row>
    <row r="467" ht="15.75" customHeight="1">
      <c r="A467" s="18">
        <v>45621.0</v>
      </c>
      <c r="B467" s="16" t="str">
        <f t="shared" si="1"/>
        <v>November</v>
      </c>
      <c r="C467" s="2" t="s">
        <v>9</v>
      </c>
      <c r="D467" s="2" t="str">
        <f t="shared" si="2"/>
        <v>Monterrey</v>
      </c>
      <c r="E467" s="2" t="s">
        <v>1467</v>
      </c>
      <c r="F467" s="2" t="str">
        <f>IFERROR(__xludf.DUMMYFUNCTION("SPLIT(E467, ""-"")"),"Auriculares")</f>
        <v>Auriculares</v>
      </c>
      <c r="G467" s="2" t="str">
        <f>IFERROR(__xludf.DUMMYFUNCTION("""COMPUTED_VALUE"""),"Con cable")</f>
        <v>Con cable</v>
      </c>
      <c r="H467" s="2" t="str">
        <f>IFERROR(__xludf.DUMMYFUNCTION("""COMPUTED_VALUE"""),"32GB ")</f>
        <v>32GB </v>
      </c>
      <c r="I467" s="17">
        <v>1155.26</v>
      </c>
      <c r="J467" s="6">
        <v>4.0</v>
      </c>
      <c r="K467" s="17">
        <v>4621.04</v>
      </c>
      <c r="L467" s="2" t="s">
        <v>1468</v>
      </c>
      <c r="M467" s="2" t="s">
        <v>1469</v>
      </c>
      <c r="N467" s="2" t="s">
        <v>1470</v>
      </c>
    </row>
    <row r="468" ht="15.75" customHeight="1">
      <c r="A468" s="18">
        <v>45621.0</v>
      </c>
      <c r="B468" s="16" t="str">
        <f t="shared" si="1"/>
        <v>November</v>
      </c>
      <c r="C468" s="3" t="s">
        <v>29</v>
      </c>
      <c r="D468" s="2" t="str">
        <f t="shared" si="2"/>
        <v>Ciudad De Mexico</v>
      </c>
      <c r="E468" s="2" t="s">
        <v>35</v>
      </c>
      <c r="F468" s="2" t="str">
        <f>IFERROR(__xludf.DUMMYFUNCTION("SPLIT(E468, ""-"")"),"Tablet")</f>
        <v>Tablet</v>
      </c>
      <c r="G468" s="2" t="str">
        <f>IFERROR(__xludf.DUMMYFUNCTION("""COMPUTED_VALUE"""),"Pro")</f>
        <v>Pro</v>
      </c>
      <c r="H468" s="2" t="str">
        <f>IFERROR(__xludf.DUMMYFUNCTION("""COMPUTED_VALUE"""),"4GB")</f>
        <v>4GB</v>
      </c>
      <c r="I468" s="17">
        <v>1022.39</v>
      </c>
      <c r="J468" s="6">
        <v>2.0</v>
      </c>
      <c r="K468" s="17">
        <v>2044.78</v>
      </c>
      <c r="L468" s="2" t="s">
        <v>1471</v>
      </c>
      <c r="M468" s="2" t="s">
        <v>1472</v>
      </c>
      <c r="N468" s="2" t="s">
        <v>1473</v>
      </c>
    </row>
    <row r="469" ht="15.75" customHeight="1">
      <c r="A469" s="18">
        <v>45621.0</v>
      </c>
      <c r="B469" s="16" t="str">
        <f t="shared" si="1"/>
        <v>November</v>
      </c>
      <c r="C469" s="3" t="s">
        <v>29</v>
      </c>
      <c r="D469" s="2" t="str">
        <f t="shared" si="2"/>
        <v>Ciudad De Mexico</v>
      </c>
      <c r="E469" s="2" t="s">
        <v>279</v>
      </c>
      <c r="F469" s="2" t="str">
        <f>IFERROR(__xludf.DUMMYFUNCTION("SPLIT(E469, ""-"")"),"Tablet")</f>
        <v>Tablet</v>
      </c>
      <c r="G469" s="2" t="str">
        <f>IFERROR(__xludf.DUMMYFUNCTION("""COMPUTED_VALUE"""),"Pro")</f>
        <v>Pro</v>
      </c>
      <c r="H469" s="2" t="str">
        <f>IFERROR(__xludf.DUMMYFUNCTION("""COMPUTED_VALUE"""),"16GB")</f>
        <v>16GB</v>
      </c>
      <c r="I469" s="17">
        <v>110.53</v>
      </c>
      <c r="J469" s="6">
        <v>5.0</v>
      </c>
      <c r="K469" s="17">
        <v>552.65</v>
      </c>
      <c r="L469" s="2" t="s">
        <v>1474</v>
      </c>
      <c r="M469" s="2" t="s">
        <v>1475</v>
      </c>
      <c r="N469" s="2" t="s">
        <v>1476</v>
      </c>
    </row>
    <row r="470" ht="15.75" customHeight="1">
      <c r="A470" s="18">
        <v>45621.0</v>
      </c>
      <c r="B470" s="16" t="str">
        <f t="shared" si="1"/>
        <v>November</v>
      </c>
      <c r="C470" s="2" t="s">
        <v>34</v>
      </c>
      <c r="D470" s="2" t="str">
        <f t="shared" si="2"/>
        <v>Medellín</v>
      </c>
      <c r="E470" s="21" t="s">
        <v>2340</v>
      </c>
      <c r="F470" s="2" t="str">
        <f>IFERROR(__xludf.DUMMYFUNCTION("SPLIT(E470, ""-"")"),"Teléfono")</f>
        <v>Teléfono</v>
      </c>
      <c r="G470" s="2" t="str">
        <f>IFERROR(__xludf.DUMMYFUNCTION("""COMPUTED_VALUE"""),"Gama media")</f>
        <v>Gama media</v>
      </c>
      <c r="H470" s="2" t="str">
        <f>IFERROR(__xludf.DUMMYFUNCTION("""COMPUTED_VALUE"""),"8GB")</f>
        <v>8GB</v>
      </c>
      <c r="I470" s="17">
        <v>1453.6</v>
      </c>
      <c r="J470" s="6">
        <v>4.0</v>
      </c>
      <c r="K470" s="17">
        <v>5814.4</v>
      </c>
      <c r="L470" s="2" t="s">
        <v>1477</v>
      </c>
      <c r="M470" s="2" t="s">
        <v>1478</v>
      </c>
      <c r="N470" s="2" t="s">
        <v>1479</v>
      </c>
    </row>
    <row r="471" ht="15.75" customHeight="1">
      <c r="A471" s="18">
        <v>45621.0</v>
      </c>
      <c r="B471" s="16" t="str">
        <f t="shared" si="1"/>
        <v>November</v>
      </c>
      <c r="C471" s="2" t="s">
        <v>34</v>
      </c>
      <c r="D471" s="2" t="str">
        <f t="shared" si="2"/>
        <v>Medellín</v>
      </c>
      <c r="E471" s="2" t="s">
        <v>252</v>
      </c>
      <c r="F471" s="2" t="str">
        <f>IFERROR(__xludf.DUMMYFUNCTION("SPLIT(E471, ""-"")"),"Auriculares")</f>
        <v>Auriculares</v>
      </c>
      <c r="G471" s="2" t="str">
        <f>IFERROR(__xludf.DUMMYFUNCTION("""COMPUTED_VALUE"""),"Bluetooth")</f>
        <v>Bluetooth</v>
      </c>
      <c r="H471" s="2" t="str">
        <f>IFERROR(__xludf.DUMMYFUNCTION("""COMPUTED_VALUE"""),"8GB")</f>
        <v>8GB</v>
      </c>
      <c r="I471" s="17">
        <v>2062.25</v>
      </c>
      <c r="J471" s="6">
        <v>3.0</v>
      </c>
      <c r="K471" s="17">
        <v>6186.75</v>
      </c>
      <c r="L471" s="2" t="s">
        <v>1480</v>
      </c>
      <c r="M471" s="2" t="s">
        <v>1481</v>
      </c>
      <c r="N471" s="2" t="s">
        <v>1482</v>
      </c>
    </row>
    <row r="472" ht="15.75" customHeight="1">
      <c r="A472" s="18">
        <v>45621.0</v>
      </c>
      <c r="B472" s="16" t="str">
        <f t="shared" si="1"/>
        <v>November</v>
      </c>
      <c r="C472" s="2" t="s">
        <v>9</v>
      </c>
      <c r="D472" s="2" t="str">
        <f t="shared" si="2"/>
        <v>Monterrey</v>
      </c>
      <c r="E472" s="2" t="s">
        <v>115</v>
      </c>
      <c r="F472" s="2" t="str">
        <f>IFERROR(__xludf.DUMMYFUNCTION("SPLIT(E472, ""-"")"),"Teléfono")</f>
        <v>Teléfono</v>
      </c>
      <c r="G472" s="2" t="str">
        <f>IFERROR(__xludf.DUMMYFUNCTION("""COMPUTED_VALUE"""),"Gama baja")</f>
        <v>Gama baja</v>
      </c>
      <c r="H472" s="2" t="str">
        <f>IFERROR(__xludf.DUMMYFUNCTION("""COMPUTED_VALUE"""),"16GB")</f>
        <v>16GB</v>
      </c>
      <c r="I472" s="17">
        <v>1083.45</v>
      </c>
      <c r="J472" s="6">
        <v>5.0</v>
      </c>
      <c r="K472" s="17">
        <v>5417.25</v>
      </c>
      <c r="L472" s="2" t="s">
        <v>1483</v>
      </c>
      <c r="M472" s="2" t="s">
        <v>1484</v>
      </c>
      <c r="N472" s="2" t="s">
        <v>1485</v>
      </c>
    </row>
    <row r="473" ht="15.75" customHeight="1">
      <c r="A473" s="18">
        <v>45621.0</v>
      </c>
      <c r="B473" s="16" t="str">
        <f t="shared" si="1"/>
        <v>November</v>
      </c>
      <c r="C473" s="2" t="s">
        <v>14</v>
      </c>
      <c r="D473" s="2" t="str">
        <f t="shared" si="2"/>
        <v>Bogotá</v>
      </c>
      <c r="E473" s="2" t="s">
        <v>179</v>
      </c>
      <c r="F473" s="2" t="str">
        <f>IFERROR(__xludf.DUMMYFUNCTION("SPLIT(E473, ""-"")"),"Tablet")</f>
        <v>Tablet</v>
      </c>
      <c r="G473" s="2" t="str">
        <f>IFERROR(__xludf.DUMMYFUNCTION("""COMPUTED_VALUE"""),"Mini")</f>
        <v>Mini</v>
      </c>
      <c r="H473" s="2" t="str">
        <f>IFERROR(__xludf.DUMMYFUNCTION("""COMPUTED_VALUE"""),"4GB")</f>
        <v>4GB</v>
      </c>
      <c r="I473" s="17">
        <v>2488.53</v>
      </c>
      <c r="J473" s="6">
        <v>1.0</v>
      </c>
      <c r="K473" s="17">
        <v>2488.53</v>
      </c>
      <c r="L473" s="2" t="s">
        <v>1486</v>
      </c>
      <c r="M473" s="2" t="s">
        <v>1487</v>
      </c>
      <c r="N473" s="2" t="s">
        <v>1488</v>
      </c>
    </row>
    <row r="474" ht="15.75" customHeight="1">
      <c r="A474" s="18">
        <v>45621.0</v>
      </c>
      <c r="B474" s="16" t="str">
        <f t="shared" si="1"/>
        <v>November</v>
      </c>
      <c r="C474" s="2" t="s">
        <v>74</v>
      </c>
      <c r="D474" s="2" t="str">
        <f t="shared" si="2"/>
        <v>Cali</v>
      </c>
      <c r="E474" s="2" t="s">
        <v>75</v>
      </c>
      <c r="F474" s="2" t="str">
        <f>IFERROR(__xludf.DUMMYFUNCTION("SPLIT(E474, ""-"")"),"Tablet")</f>
        <v>Tablet</v>
      </c>
      <c r="G474" s="2" t="str">
        <f>IFERROR(__xludf.DUMMYFUNCTION("""COMPUTED_VALUE"""),"Mini")</f>
        <v>Mini</v>
      </c>
      <c r="H474" s="2" t="str">
        <f>IFERROR(__xludf.DUMMYFUNCTION("""COMPUTED_VALUE"""),"32GB")</f>
        <v>32GB</v>
      </c>
      <c r="I474" s="17">
        <v>2068.34</v>
      </c>
      <c r="J474" s="6">
        <v>2.0</v>
      </c>
      <c r="K474" s="17">
        <v>4136.68</v>
      </c>
      <c r="L474" s="2" t="s">
        <v>1489</v>
      </c>
      <c r="M474" s="2" t="s">
        <v>1490</v>
      </c>
      <c r="N474" s="2" t="s">
        <v>1491</v>
      </c>
    </row>
    <row r="475" ht="15.75" customHeight="1">
      <c r="A475" s="18">
        <v>45621.0</v>
      </c>
      <c r="B475" s="16" t="str">
        <f t="shared" si="1"/>
        <v>November</v>
      </c>
      <c r="C475" s="2" t="s">
        <v>14</v>
      </c>
      <c r="D475" s="2" t="str">
        <f t="shared" si="2"/>
        <v>Bogotá</v>
      </c>
      <c r="E475" s="2" t="s">
        <v>169</v>
      </c>
      <c r="F475" s="2" t="str">
        <f>IFERROR(__xludf.DUMMYFUNCTION("SPLIT(E475, ""-"")"),"Teléfono")</f>
        <v>Teléfono</v>
      </c>
      <c r="G475" s="2" t="str">
        <f>IFERROR(__xludf.DUMMYFUNCTION("""COMPUTED_VALUE"""),"Gama baja")</f>
        <v>Gama baja</v>
      </c>
      <c r="H475" s="2" t="str">
        <f>IFERROR(__xludf.DUMMYFUNCTION("""COMPUTED_VALUE"""),"4GB")</f>
        <v>4GB</v>
      </c>
      <c r="I475" s="17">
        <v>1390.26</v>
      </c>
      <c r="J475" s="6">
        <v>1.0</v>
      </c>
      <c r="K475" s="17">
        <v>1390.26</v>
      </c>
      <c r="L475" s="2" t="s">
        <v>1492</v>
      </c>
      <c r="M475" s="2" t="s">
        <v>1493</v>
      </c>
      <c r="N475" s="2" t="s">
        <v>1494</v>
      </c>
    </row>
    <row r="476" ht="15.75" customHeight="1">
      <c r="A476" s="18">
        <v>45621.0</v>
      </c>
      <c r="B476" s="16" t="str">
        <f t="shared" si="1"/>
        <v>November</v>
      </c>
      <c r="C476" s="3" t="s">
        <v>29</v>
      </c>
      <c r="D476" s="2" t="str">
        <f t="shared" si="2"/>
        <v>Ciudad De Mexico</v>
      </c>
      <c r="E476" s="2" t="s">
        <v>252</v>
      </c>
      <c r="F476" s="2" t="str">
        <f>IFERROR(__xludf.DUMMYFUNCTION("SPLIT(E476, ""-"")"),"Auriculares")</f>
        <v>Auriculares</v>
      </c>
      <c r="G476" s="2" t="str">
        <f>IFERROR(__xludf.DUMMYFUNCTION("""COMPUTED_VALUE"""),"Bluetooth")</f>
        <v>Bluetooth</v>
      </c>
      <c r="H476" s="2" t="str">
        <f>IFERROR(__xludf.DUMMYFUNCTION("""COMPUTED_VALUE"""),"8GB")</f>
        <v>8GB</v>
      </c>
      <c r="I476" s="17">
        <v>1438.41</v>
      </c>
      <c r="J476" s="6">
        <v>4.0</v>
      </c>
      <c r="K476" s="17">
        <v>5753.64</v>
      </c>
      <c r="L476" s="2" t="s">
        <v>1495</v>
      </c>
      <c r="M476" s="2" t="s">
        <v>1496</v>
      </c>
      <c r="N476" s="2" t="s">
        <v>1497</v>
      </c>
    </row>
    <row r="477" ht="15.75" customHeight="1">
      <c r="A477" s="18">
        <v>45622.0</v>
      </c>
      <c r="B477" s="16" t="str">
        <f t="shared" si="1"/>
        <v>November</v>
      </c>
      <c r="C477" s="2" t="s">
        <v>9</v>
      </c>
      <c r="D477" s="2" t="str">
        <f t="shared" si="2"/>
        <v>Monterrey</v>
      </c>
      <c r="E477" s="2" t="s">
        <v>49</v>
      </c>
      <c r="F477" s="2" t="str">
        <f>IFERROR(__xludf.DUMMYFUNCTION("SPLIT(E477, ""-"")"),"Tablet")</f>
        <v>Tablet</v>
      </c>
      <c r="G477" s="2" t="str">
        <f>IFERROR(__xludf.DUMMYFUNCTION("""COMPUTED_VALUE"""),"Estándar")</f>
        <v>Estándar</v>
      </c>
      <c r="H477" s="2" t="str">
        <f>IFERROR(__xludf.DUMMYFUNCTION("""COMPUTED_VALUE"""),"32GB")</f>
        <v>32GB</v>
      </c>
      <c r="I477" s="17">
        <v>2229.46</v>
      </c>
      <c r="J477" s="6">
        <v>3.0</v>
      </c>
      <c r="K477" s="17">
        <v>6688.38</v>
      </c>
      <c r="L477" s="2" t="s">
        <v>1498</v>
      </c>
      <c r="M477" s="2" t="s">
        <v>1499</v>
      </c>
      <c r="N477" s="2" t="s">
        <v>1500</v>
      </c>
    </row>
    <row r="478" ht="15.75" customHeight="1">
      <c r="A478" s="18">
        <v>45622.0</v>
      </c>
      <c r="B478" s="16" t="str">
        <f t="shared" si="1"/>
        <v>November</v>
      </c>
      <c r="C478" s="2" t="s">
        <v>34</v>
      </c>
      <c r="D478" s="2" t="str">
        <f t="shared" si="2"/>
        <v>Medellín</v>
      </c>
      <c r="E478" s="2" t="s">
        <v>179</v>
      </c>
      <c r="F478" s="2" t="str">
        <f>IFERROR(__xludf.DUMMYFUNCTION("SPLIT(E478, ""-"")"),"Tablet")</f>
        <v>Tablet</v>
      </c>
      <c r="G478" s="2" t="str">
        <f>IFERROR(__xludf.DUMMYFUNCTION("""COMPUTED_VALUE"""),"Mini")</f>
        <v>Mini</v>
      </c>
      <c r="H478" s="2" t="str">
        <f>IFERROR(__xludf.DUMMYFUNCTION("""COMPUTED_VALUE"""),"4GB")</f>
        <v>4GB</v>
      </c>
      <c r="I478" s="17">
        <v>324.09</v>
      </c>
      <c r="J478" s="6">
        <v>2.0</v>
      </c>
      <c r="K478" s="17">
        <v>648.18</v>
      </c>
      <c r="L478" s="2" t="s">
        <v>1501</v>
      </c>
      <c r="M478" s="2" t="s">
        <v>1502</v>
      </c>
      <c r="N478" s="2" t="s">
        <v>1503</v>
      </c>
    </row>
    <row r="479" ht="15.75" customHeight="1">
      <c r="A479" s="18">
        <v>45622.0</v>
      </c>
      <c r="B479" s="16" t="str">
        <f t="shared" si="1"/>
        <v>November</v>
      </c>
      <c r="C479" s="2" t="s">
        <v>74</v>
      </c>
      <c r="D479" s="2" t="str">
        <f t="shared" si="2"/>
        <v>Cali</v>
      </c>
      <c r="E479" s="2" t="s">
        <v>130</v>
      </c>
      <c r="F479" s="2" t="str">
        <f>IFERROR(__xludf.DUMMYFUNCTION("SPLIT(E479, ""-"")"),"Tablet")</f>
        <v>Tablet</v>
      </c>
      <c r="G479" s="2" t="str">
        <f>IFERROR(__xludf.DUMMYFUNCTION("""COMPUTED_VALUE"""),"Pro")</f>
        <v>Pro</v>
      </c>
      <c r="H479" s="2" t="str">
        <f>IFERROR(__xludf.DUMMYFUNCTION("""COMPUTED_VALUE"""),"8GB")</f>
        <v>8GB</v>
      </c>
      <c r="I479" s="17">
        <v>664.21</v>
      </c>
      <c r="J479" s="6">
        <v>1.0</v>
      </c>
      <c r="K479" s="17">
        <v>664.21</v>
      </c>
      <c r="L479" s="2" t="s">
        <v>1504</v>
      </c>
      <c r="M479" s="2" t="s">
        <v>1505</v>
      </c>
      <c r="N479" s="2" t="s">
        <v>1506</v>
      </c>
    </row>
    <row r="480" ht="15.75" customHeight="1">
      <c r="A480" s="18">
        <v>45622.0</v>
      </c>
      <c r="B480" s="16" t="str">
        <f t="shared" si="1"/>
        <v>November</v>
      </c>
      <c r="C480" s="3" t="s">
        <v>29</v>
      </c>
      <c r="D480" s="2" t="str">
        <f t="shared" si="2"/>
        <v>Ciudad De Mexico</v>
      </c>
      <c r="E480" s="2" t="s">
        <v>386</v>
      </c>
      <c r="F480" s="2" t="str">
        <f>IFERROR(__xludf.DUMMYFUNCTION("SPLIT(E480, ""-"")"),"Auriculares")</f>
        <v>Auriculares</v>
      </c>
      <c r="G480" s="2" t="str">
        <f>IFERROR(__xludf.DUMMYFUNCTION("""COMPUTED_VALUE"""),"Cancelación de ruido")</f>
        <v>Cancelación de ruido</v>
      </c>
      <c r="H480" s="2" t="str">
        <f>IFERROR(__xludf.DUMMYFUNCTION("""COMPUTED_VALUE"""),"4GB")</f>
        <v>4GB</v>
      </c>
      <c r="I480" s="17">
        <v>412.36</v>
      </c>
      <c r="J480" s="6">
        <v>4.0</v>
      </c>
      <c r="K480" s="17">
        <v>1649.44</v>
      </c>
      <c r="L480" s="2" t="s">
        <v>1507</v>
      </c>
      <c r="M480" s="2" t="s">
        <v>1508</v>
      </c>
      <c r="N480" s="2" t="s">
        <v>1509</v>
      </c>
    </row>
    <row r="481" ht="15.75" customHeight="1">
      <c r="A481" s="18">
        <v>45622.0</v>
      </c>
      <c r="B481" s="16" t="str">
        <f t="shared" si="1"/>
        <v>November</v>
      </c>
      <c r="C481" s="2" t="s">
        <v>34</v>
      </c>
      <c r="D481" s="2" t="str">
        <f t="shared" si="2"/>
        <v>Medellín</v>
      </c>
      <c r="E481" s="2" t="s">
        <v>187</v>
      </c>
      <c r="F481" s="2" t="str">
        <f>IFERROR(__xludf.DUMMYFUNCTION("SPLIT(E481, ""-"")"),"Laptop")</f>
        <v>Laptop</v>
      </c>
      <c r="G481" s="2" t="str">
        <f>IFERROR(__xludf.DUMMYFUNCTION("""COMPUTED_VALUE"""),"Ultraliviana")</f>
        <v>Ultraliviana</v>
      </c>
      <c r="H481" s="2" t="str">
        <f>IFERROR(__xludf.DUMMYFUNCTION("""COMPUTED_VALUE"""),"16GB")</f>
        <v>16GB</v>
      </c>
      <c r="I481" s="17">
        <v>1247.08</v>
      </c>
      <c r="J481" s="6">
        <v>1.0</v>
      </c>
      <c r="K481" s="17">
        <v>1247.08</v>
      </c>
      <c r="L481" s="2" t="s">
        <v>1510</v>
      </c>
      <c r="M481" s="2" t="s">
        <v>1511</v>
      </c>
      <c r="N481" s="2" t="s">
        <v>1512</v>
      </c>
    </row>
    <row r="482" ht="15.75" customHeight="1">
      <c r="A482" s="18">
        <v>45622.0</v>
      </c>
      <c r="B482" s="16" t="str">
        <f t="shared" si="1"/>
        <v>November</v>
      </c>
      <c r="C482" s="2" t="s">
        <v>14</v>
      </c>
      <c r="D482" s="2" t="str">
        <f t="shared" si="2"/>
        <v>Bogotá</v>
      </c>
      <c r="E482" s="2" t="s">
        <v>289</v>
      </c>
      <c r="F482" s="2" t="str">
        <f>IFERROR(__xludf.DUMMYFUNCTION("SPLIT(E482, ""-"")"),"Teléfono")</f>
        <v>Teléfono</v>
      </c>
      <c r="G482" s="2" t="str">
        <f>IFERROR(__xludf.DUMMYFUNCTION("""COMPUTED_VALUE"""),"Gama alta")</f>
        <v>Gama alta</v>
      </c>
      <c r="H482" s="2" t="str">
        <f>IFERROR(__xludf.DUMMYFUNCTION("""COMPUTED_VALUE"""),"16GB")</f>
        <v>16GB</v>
      </c>
      <c r="I482" s="17">
        <v>252.24</v>
      </c>
      <c r="J482" s="6">
        <v>5.0</v>
      </c>
      <c r="K482" s="17">
        <v>1261.2</v>
      </c>
      <c r="L482" s="2" t="s">
        <v>1513</v>
      </c>
      <c r="M482" s="2" t="s">
        <v>1514</v>
      </c>
      <c r="N482" s="2" t="s">
        <v>1515</v>
      </c>
    </row>
    <row r="483" ht="15.75" customHeight="1">
      <c r="A483" s="18">
        <v>45622.0</v>
      </c>
      <c r="B483" s="16" t="str">
        <f t="shared" si="1"/>
        <v>November</v>
      </c>
      <c r="C483" s="3" t="s">
        <v>29</v>
      </c>
      <c r="D483" s="2" t="str">
        <f t="shared" si="2"/>
        <v>Ciudad De Mexico</v>
      </c>
      <c r="E483" s="2" t="s">
        <v>215</v>
      </c>
      <c r="F483" s="2" t="str">
        <f>IFERROR(__xludf.DUMMYFUNCTION("SPLIT(E483, ""-"")"),"Teléfono")</f>
        <v>Teléfono</v>
      </c>
      <c r="G483" s="2" t="str">
        <f>IFERROR(__xludf.DUMMYFUNCTION("""COMPUTED_VALUE"""),"Gama media")</f>
        <v>Gama media</v>
      </c>
      <c r="H483" s="2" t="str">
        <f>IFERROR(__xludf.DUMMYFUNCTION("""COMPUTED_VALUE"""),"4GB")</f>
        <v>4GB</v>
      </c>
      <c r="I483" s="17">
        <v>1519.67</v>
      </c>
      <c r="J483" s="6">
        <v>4.0</v>
      </c>
      <c r="K483" s="17">
        <v>6078.68</v>
      </c>
      <c r="L483" s="2" t="s">
        <v>1516</v>
      </c>
      <c r="M483" s="2" t="s">
        <v>1517</v>
      </c>
      <c r="N483" s="2" t="s">
        <v>1518</v>
      </c>
    </row>
    <row r="484" ht="15.75" customHeight="1">
      <c r="A484" s="18">
        <v>45622.0</v>
      </c>
      <c r="B484" s="16" t="str">
        <f t="shared" si="1"/>
        <v>November</v>
      </c>
      <c r="C484" s="2" t="s">
        <v>14</v>
      </c>
      <c r="D484" s="2" t="str">
        <f t="shared" si="2"/>
        <v>Bogotá</v>
      </c>
      <c r="E484" s="2" t="s">
        <v>366</v>
      </c>
      <c r="F484" s="2" t="str">
        <f>IFERROR(__xludf.DUMMYFUNCTION("SPLIT(E484, ""-"")"),"Auriculares")</f>
        <v>Auriculares</v>
      </c>
      <c r="G484" s="2" t="str">
        <f>IFERROR(__xludf.DUMMYFUNCTION("""COMPUTED_VALUE"""),"Con cable")</f>
        <v>Con cable</v>
      </c>
      <c r="H484" s="2" t="str">
        <f>IFERROR(__xludf.DUMMYFUNCTION("""COMPUTED_VALUE"""),"4GB")</f>
        <v>4GB</v>
      </c>
      <c r="I484" s="17">
        <v>488.25</v>
      </c>
      <c r="J484" s="6">
        <v>5.0</v>
      </c>
      <c r="K484" s="17">
        <v>2441.25</v>
      </c>
      <c r="L484" s="2" t="s">
        <v>1519</v>
      </c>
      <c r="M484" s="2" t="s">
        <v>1520</v>
      </c>
      <c r="N484" s="2" t="s">
        <v>1521</v>
      </c>
    </row>
    <row r="485" ht="15.75" customHeight="1">
      <c r="A485" s="18">
        <v>45622.0</v>
      </c>
      <c r="B485" s="16" t="str">
        <f t="shared" si="1"/>
        <v>November</v>
      </c>
      <c r="C485" s="2" t="s">
        <v>14</v>
      </c>
      <c r="D485" s="2" t="str">
        <f t="shared" si="2"/>
        <v>Bogotá</v>
      </c>
      <c r="E485" s="2" t="s">
        <v>83</v>
      </c>
      <c r="F485" s="2" t="str">
        <f>IFERROR(__xludf.DUMMYFUNCTION("SPLIT(E485, ""-"")"),"Teléfono")</f>
        <v>Teléfono</v>
      </c>
      <c r="G485" s="2" t="str">
        <f>IFERROR(__xludf.DUMMYFUNCTION("""COMPUTED_VALUE"""),"Gama media")</f>
        <v>Gama media</v>
      </c>
      <c r="H485" s="2" t="str">
        <f>IFERROR(__xludf.DUMMYFUNCTION("""COMPUTED_VALUE"""),"32GB")</f>
        <v>32GB</v>
      </c>
      <c r="I485" s="17">
        <v>2210.34</v>
      </c>
      <c r="J485" s="6">
        <v>3.0</v>
      </c>
      <c r="K485" s="17">
        <v>6631.02</v>
      </c>
      <c r="L485" s="2" t="s">
        <v>1522</v>
      </c>
      <c r="M485" s="2" t="s">
        <v>1523</v>
      </c>
      <c r="N485" s="2" t="s">
        <v>1524</v>
      </c>
    </row>
    <row r="486" ht="15.75" customHeight="1">
      <c r="A486" s="18">
        <v>45622.0</v>
      </c>
      <c r="B486" s="16" t="str">
        <f t="shared" si="1"/>
        <v>November</v>
      </c>
      <c r="C486" s="3" t="s">
        <v>29</v>
      </c>
      <c r="D486" s="2" t="str">
        <f t="shared" si="2"/>
        <v>Ciudad De Mexico</v>
      </c>
      <c r="E486" s="2" t="s">
        <v>53</v>
      </c>
      <c r="F486" s="2" t="str">
        <f>IFERROR(__xludf.DUMMYFUNCTION("SPLIT(E486, ""-"")"),"Laptop")</f>
        <v>Laptop</v>
      </c>
      <c r="G486" s="2" t="str">
        <f>IFERROR(__xludf.DUMMYFUNCTION("""COMPUTED_VALUE"""),"Oficina")</f>
        <v>Oficina</v>
      </c>
      <c r="H486" s="2" t="str">
        <f>IFERROR(__xludf.DUMMYFUNCTION("""COMPUTED_VALUE"""),"8GB")</f>
        <v>8GB</v>
      </c>
      <c r="I486" s="17">
        <v>1892.73</v>
      </c>
      <c r="J486" s="6">
        <v>5.0</v>
      </c>
      <c r="K486" s="17">
        <v>9463.65</v>
      </c>
      <c r="L486" s="2" t="s">
        <v>1525</v>
      </c>
      <c r="M486" s="2" t="s">
        <v>1526</v>
      </c>
      <c r="N486" s="2" t="s">
        <v>1527</v>
      </c>
    </row>
    <row r="487" ht="15.75" customHeight="1">
      <c r="A487" s="18">
        <v>45623.0</v>
      </c>
      <c r="B487" s="16" t="str">
        <f t="shared" si="1"/>
        <v>November</v>
      </c>
      <c r="C487" s="2" t="s">
        <v>9</v>
      </c>
      <c r="D487" s="2" t="str">
        <f t="shared" si="2"/>
        <v>Monterrey</v>
      </c>
      <c r="E487" s="2" t="s">
        <v>396</v>
      </c>
      <c r="F487" s="2" t="str">
        <f>IFERROR(__xludf.DUMMYFUNCTION("SPLIT(E487, ""-"")"),"Laptop")</f>
        <v>Laptop</v>
      </c>
      <c r="G487" s="2" t="str">
        <f>IFERROR(__xludf.DUMMYFUNCTION("""COMPUTED_VALUE"""),"Gaming")</f>
        <v>Gaming</v>
      </c>
      <c r="H487" s="2" t="str">
        <f>IFERROR(__xludf.DUMMYFUNCTION("""COMPUTED_VALUE"""),"4GB")</f>
        <v>4GB</v>
      </c>
      <c r="I487" s="17">
        <v>788.6</v>
      </c>
      <c r="J487" s="6">
        <v>4.0</v>
      </c>
      <c r="K487" s="17">
        <v>3154.4</v>
      </c>
      <c r="L487" s="2" t="s">
        <v>1528</v>
      </c>
      <c r="M487" s="2" t="s">
        <v>1529</v>
      </c>
      <c r="N487" s="2" t="s">
        <v>1530</v>
      </c>
    </row>
    <row r="488" ht="15.75" customHeight="1">
      <c r="A488" s="18">
        <v>45623.0</v>
      </c>
      <c r="B488" s="16" t="str">
        <f t="shared" si="1"/>
        <v>November</v>
      </c>
      <c r="C488" s="2" t="s">
        <v>34</v>
      </c>
      <c r="D488" s="2" t="str">
        <f t="shared" si="2"/>
        <v>Medellín</v>
      </c>
      <c r="E488" s="2" t="s">
        <v>83</v>
      </c>
      <c r="F488" s="2" t="str">
        <f>IFERROR(__xludf.DUMMYFUNCTION("SPLIT(E488, ""-"")"),"Teléfono")</f>
        <v>Teléfono</v>
      </c>
      <c r="G488" s="2" t="str">
        <f>IFERROR(__xludf.DUMMYFUNCTION("""COMPUTED_VALUE"""),"Gama media")</f>
        <v>Gama media</v>
      </c>
      <c r="H488" s="2" t="str">
        <f>IFERROR(__xludf.DUMMYFUNCTION("""COMPUTED_VALUE"""),"32GB")</f>
        <v>32GB</v>
      </c>
      <c r="I488" s="17">
        <v>1219.75</v>
      </c>
      <c r="J488" s="6">
        <v>2.0</v>
      </c>
      <c r="K488" s="17">
        <v>2439.5</v>
      </c>
      <c r="L488" s="2" t="s">
        <v>1531</v>
      </c>
      <c r="M488" s="2" t="s">
        <v>1532</v>
      </c>
      <c r="N488" s="2" t="s">
        <v>1533</v>
      </c>
    </row>
    <row r="489" ht="15.75" customHeight="1">
      <c r="A489" s="18">
        <v>45623.0</v>
      </c>
      <c r="B489" s="16" t="str">
        <f t="shared" si="1"/>
        <v>November</v>
      </c>
      <c r="C489" s="2" t="s">
        <v>9</v>
      </c>
      <c r="D489" s="2" t="str">
        <f t="shared" si="2"/>
        <v>Monterrey</v>
      </c>
      <c r="E489" s="2" t="s">
        <v>10</v>
      </c>
      <c r="F489" s="2" t="str">
        <f>IFERROR(__xludf.DUMMYFUNCTION("SPLIT(E489, ""-"")"),"Tablet")</f>
        <v>Tablet</v>
      </c>
      <c r="G489" s="2" t="str">
        <f>IFERROR(__xludf.DUMMYFUNCTION("""COMPUTED_VALUE"""),"Estándar")</f>
        <v>Estándar</v>
      </c>
      <c r="H489" s="2" t="str">
        <f>IFERROR(__xludf.DUMMYFUNCTION("""COMPUTED_VALUE"""),"8GB")</f>
        <v>8GB</v>
      </c>
      <c r="I489" s="17">
        <v>2014.33</v>
      </c>
      <c r="J489" s="6">
        <v>4.0</v>
      </c>
      <c r="K489" s="17">
        <v>8057.32</v>
      </c>
      <c r="L489" s="2" t="s">
        <v>1534</v>
      </c>
      <c r="M489" s="2" t="s">
        <v>1535</v>
      </c>
      <c r="N489" s="2" t="s">
        <v>1536</v>
      </c>
    </row>
    <row r="490" ht="15.75" customHeight="1">
      <c r="A490" s="18">
        <v>45623.0</v>
      </c>
      <c r="B490" s="16" t="str">
        <f t="shared" si="1"/>
        <v>November</v>
      </c>
      <c r="C490" s="3" t="s">
        <v>29</v>
      </c>
      <c r="D490" s="2" t="str">
        <f t="shared" si="2"/>
        <v>Ciudad De Mexico</v>
      </c>
      <c r="E490" s="2" t="s">
        <v>39</v>
      </c>
      <c r="F490" s="2" t="str">
        <f>IFERROR(__xludf.DUMMYFUNCTION("SPLIT(E490, ""-"")"),"Auriculares")</f>
        <v>Auriculares</v>
      </c>
      <c r="G490" s="2" t="str">
        <f>IFERROR(__xludf.DUMMYFUNCTION("""COMPUTED_VALUE"""),"Con cable")</f>
        <v>Con cable</v>
      </c>
      <c r="H490" s="2" t="str">
        <f>IFERROR(__xludf.DUMMYFUNCTION("""COMPUTED_VALUE"""),"8GB")</f>
        <v>8GB</v>
      </c>
      <c r="I490" s="17">
        <v>1804.11</v>
      </c>
      <c r="J490" s="6">
        <v>4.0</v>
      </c>
      <c r="K490" s="17">
        <v>7216.44</v>
      </c>
      <c r="L490" s="2" t="s">
        <v>1537</v>
      </c>
      <c r="M490" s="2" t="s">
        <v>1538</v>
      </c>
      <c r="N490" s="2" t="s">
        <v>1539</v>
      </c>
    </row>
    <row r="491" ht="15.75" customHeight="1">
      <c r="A491" s="18">
        <v>45623.0</v>
      </c>
      <c r="B491" s="16" t="str">
        <f t="shared" si="1"/>
        <v>November</v>
      </c>
      <c r="C491" s="2" t="s">
        <v>14</v>
      </c>
      <c r="D491" s="2" t="str">
        <f t="shared" si="2"/>
        <v>Bogotá</v>
      </c>
      <c r="E491" s="2" t="s">
        <v>151</v>
      </c>
      <c r="F491" s="2" t="str">
        <f>IFERROR(__xludf.DUMMYFUNCTION("SPLIT(E491, ""-"")"),"Laptop")</f>
        <v>Laptop</v>
      </c>
      <c r="G491" s="2" t="str">
        <f>IFERROR(__xludf.DUMMYFUNCTION("""COMPUTED_VALUE"""),"Gaming")</f>
        <v>Gaming</v>
      </c>
      <c r="H491" s="2" t="str">
        <f>IFERROR(__xludf.DUMMYFUNCTION("""COMPUTED_VALUE"""),"8GB")</f>
        <v>8GB</v>
      </c>
      <c r="I491" s="17">
        <v>764.41</v>
      </c>
      <c r="J491" s="6">
        <v>3.0</v>
      </c>
      <c r="K491" s="17">
        <v>2293.23</v>
      </c>
      <c r="L491" s="2" t="s">
        <v>1540</v>
      </c>
      <c r="M491" s="2" t="s">
        <v>1541</v>
      </c>
      <c r="N491" s="2" t="s">
        <v>1542</v>
      </c>
    </row>
    <row r="492" ht="15.75" customHeight="1">
      <c r="A492" s="18">
        <v>45623.0</v>
      </c>
      <c r="B492" s="16" t="str">
        <f t="shared" si="1"/>
        <v>November</v>
      </c>
      <c r="C492" s="2" t="s">
        <v>9</v>
      </c>
      <c r="D492" s="2" t="str">
        <f t="shared" si="2"/>
        <v>Monterrey</v>
      </c>
      <c r="E492" s="2" t="s">
        <v>15</v>
      </c>
      <c r="F492" s="2" t="str">
        <f>IFERROR(__xludf.DUMMYFUNCTION("SPLIT(E492, ""-"")"),"Auriculares")</f>
        <v>Auriculares</v>
      </c>
      <c r="G492" s="2" t="str">
        <f>IFERROR(__xludf.DUMMYFUNCTION("""COMPUTED_VALUE"""),"Con cable")</f>
        <v>Con cable</v>
      </c>
      <c r="H492" s="2" t="str">
        <f>IFERROR(__xludf.DUMMYFUNCTION("""COMPUTED_VALUE"""),"32GB")</f>
        <v>32GB</v>
      </c>
      <c r="I492" s="17">
        <v>1713.18</v>
      </c>
      <c r="J492" s="6">
        <v>2.0</v>
      </c>
      <c r="K492" s="17">
        <v>3426.36</v>
      </c>
      <c r="L492" s="2" t="s">
        <v>1543</v>
      </c>
      <c r="M492" s="2" t="s">
        <v>1544</v>
      </c>
      <c r="N492" s="2" t="s">
        <v>1545</v>
      </c>
    </row>
    <row r="493" ht="15.75" customHeight="1">
      <c r="A493" s="18">
        <v>45623.0</v>
      </c>
      <c r="B493" s="16" t="str">
        <f t="shared" si="1"/>
        <v>November</v>
      </c>
      <c r="C493" s="3" t="s">
        <v>29</v>
      </c>
      <c r="D493" s="2" t="str">
        <f t="shared" si="2"/>
        <v>Ciudad De Mexico</v>
      </c>
      <c r="E493" s="2" t="s">
        <v>66</v>
      </c>
      <c r="F493" s="2" t="str">
        <f>IFERROR(__xludf.DUMMYFUNCTION("SPLIT(E493, ""-"")"),"Tablet")</f>
        <v>Tablet</v>
      </c>
      <c r="G493" s="2" t="str">
        <f>IFERROR(__xludf.DUMMYFUNCTION("""COMPUTED_VALUE"""),"Estándar")</f>
        <v>Estándar</v>
      </c>
      <c r="H493" s="2" t="str">
        <f>IFERROR(__xludf.DUMMYFUNCTION("""COMPUTED_VALUE"""),"4GB")</f>
        <v>4GB</v>
      </c>
      <c r="I493" s="17">
        <v>1160.86</v>
      </c>
      <c r="J493" s="6">
        <v>4.0</v>
      </c>
      <c r="K493" s="17">
        <v>4643.44</v>
      </c>
      <c r="L493" s="2" t="s">
        <v>1546</v>
      </c>
      <c r="M493" s="2" t="s">
        <v>1547</v>
      </c>
      <c r="N493" s="2" t="s">
        <v>1548</v>
      </c>
    </row>
    <row r="494" ht="15.75" customHeight="1">
      <c r="A494" s="18">
        <v>45623.0</v>
      </c>
      <c r="B494" s="16" t="str">
        <f t="shared" si="1"/>
        <v>November</v>
      </c>
      <c r="C494" s="2" t="s">
        <v>57</v>
      </c>
      <c r="D494" s="2" t="str">
        <f t="shared" si="2"/>
        <v>Guadalajara</v>
      </c>
      <c r="E494" s="2" t="s">
        <v>183</v>
      </c>
      <c r="F494" s="2" t="str">
        <f>IFERROR(__xludf.DUMMYFUNCTION("SPLIT(E494, ""-"")"),"Auriculares")</f>
        <v>Auriculares</v>
      </c>
      <c r="G494" s="2" t="str">
        <f>IFERROR(__xludf.DUMMYFUNCTION("""COMPUTED_VALUE"""),"Cancelaci√≥n de ruido")</f>
        <v>Cancelaci√≥n de ruido</v>
      </c>
      <c r="H494" s="2" t="str">
        <f>IFERROR(__xludf.DUMMYFUNCTION("""COMPUTED_VALUE"""),"16GB")</f>
        <v>16GB</v>
      </c>
      <c r="I494" s="17">
        <v>2160.65</v>
      </c>
      <c r="J494" s="6">
        <v>3.0</v>
      </c>
      <c r="K494" s="17">
        <v>6481.95</v>
      </c>
      <c r="L494" s="2" t="s">
        <v>1549</v>
      </c>
      <c r="M494" s="2" t="s">
        <v>1550</v>
      </c>
      <c r="N494" s="2" t="s">
        <v>1551</v>
      </c>
    </row>
    <row r="495" ht="15.75" customHeight="1">
      <c r="A495" s="18">
        <v>45624.0</v>
      </c>
      <c r="B495" s="16" t="str">
        <f t="shared" si="1"/>
        <v>November</v>
      </c>
      <c r="C495" s="2" t="s">
        <v>87</v>
      </c>
      <c r="D495" s="2" t="str">
        <f t="shared" si="2"/>
        <v>Tulum</v>
      </c>
      <c r="E495" s="2" t="s">
        <v>289</v>
      </c>
      <c r="F495" s="2" t="str">
        <f>IFERROR(__xludf.DUMMYFUNCTION("SPLIT(E495, ""-"")"),"Teléfono")</f>
        <v>Teléfono</v>
      </c>
      <c r="G495" s="2" t="str">
        <f>IFERROR(__xludf.DUMMYFUNCTION("""COMPUTED_VALUE"""),"Gama alta")</f>
        <v>Gama alta</v>
      </c>
      <c r="H495" s="2" t="str">
        <f>IFERROR(__xludf.DUMMYFUNCTION("""COMPUTED_VALUE"""),"16GB")</f>
        <v>16GB</v>
      </c>
      <c r="I495" s="17">
        <v>2297.62</v>
      </c>
      <c r="J495" s="6">
        <v>4.0</v>
      </c>
      <c r="K495" s="17">
        <v>9190.48</v>
      </c>
      <c r="L495" s="2" t="s">
        <v>1552</v>
      </c>
      <c r="M495" s="2" t="s">
        <v>1553</v>
      </c>
      <c r="N495" s="2" t="s">
        <v>1554</v>
      </c>
    </row>
    <row r="496" ht="15.75" customHeight="1">
      <c r="A496" s="18">
        <v>45624.0</v>
      </c>
      <c r="B496" s="16" t="str">
        <f t="shared" si="1"/>
        <v>November</v>
      </c>
      <c r="C496" s="2" t="s">
        <v>14</v>
      </c>
      <c r="D496" s="2" t="str">
        <f t="shared" si="2"/>
        <v>Bogotá</v>
      </c>
      <c r="E496" s="2" t="s">
        <v>22</v>
      </c>
      <c r="F496" s="2" t="str">
        <f>IFERROR(__xludf.DUMMYFUNCTION("SPLIT(E496, ""-"")"),"Tablet")</f>
        <v>Tablet</v>
      </c>
      <c r="G496" s="2" t="str">
        <f>IFERROR(__xludf.DUMMYFUNCTION("""COMPUTED_VALUE"""),"Estándar")</f>
        <v>Estándar</v>
      </c>
      <c r="H496" s="2" t="str">
        <f>IFERROR(__xludf.DUMMYFUNCTION("""COMPUTED_VALUE"""),"16GB")</f>
        <v>16GB</v>
      </c>
      <c r="I496" s="17">
        <v>1795.59</v>
      </c>
      <c r="J496" s="6">
        <v>5.0</v>
      </c>
      <c r="K496" s="17">
        <v>8977.95</v>
      </c>
      <c r="L496" s="2" t="s">
        <v>1555</v>
      </c>
      <c r="M496" s="2" t="s">
        <v>1556</v>
      </c>
      <c r="N496" s="8" t="s">
        <v>1557</v>
      </c>
    </row>
    <row r="497" ht="15.75" customHeight="1">
      <c r="A497" s="18">
        <v>45624.0</v>
      </c>
      <c r="B497" s="16" t="str">
        <f t="shared" si="1"/>
        <v>November</v>
      </c>
      <c r="C497" s="3" t="s">
        <v>29</v>
      </c>
      <c r="D497" s="2" t="str">
        <f t="shared" si="2"/>
        <v>Ciudad De Mexico</v>
      </c>
      <c r="E497" s="2" t="s">
        <v>256</v>
      </c>
      <c r="F497" s="2" t="str">
        <f>IFERROR(__xludf.DUMMYFUNCTION("SPLIT(E497, ""-"")"),"Auriculares")</f>
        <v>Auriculares</v>
      </c>
      <c r="G497" s="2" t="str">
        <f>IFERROR(__xludf.DUMMYFUNCTION("""COMPUTED_VALUE"""),"Cancelación de ruido")</f>
        <v>Cancelación de ruido</v>
      </c>
      <c r="H497" s="2" t="str">
        <f>IFERROR(__xludf.DUMMYFUNCTION("""COMPUTED_VALUE"""),"8GB")</f>
        <v>8GB</v>
      </c>
      <c r="I497" s="17">
        <v>2087.73</v>
      </c>
      <c r="J497" s="6">
        <v>1.0</v>
      </c>
      <c r="K497" s="20">
        <f>I497*J497</f>
        <v>2087.73</v>
      </c>
      <c r="L497" s="2" t="s">
        <v>1558</v>
      </c>
      <c r="M497" s="2" t="s">
        <v>1559</v>
      </c>
      <c r="N497" s="2" t="s">
        <v>1560</v>
      </c>
    </row>
    <row r="498" ht="15.75" customHeight="1">
      <c r="A498" s="18">
        <v>45624.0</v>
      </c>
      <c r="B498" s="16" t="str">
        <f t="shared" si="1"/>
        <v>November</v>
      </c>
      <c r="C498" s="2" t="s">
        <v>9</v>
      </c>
      <c r="D498" s="2" t="str">
        <f t="shared" si="2"/>
        <v>Monterrey</v>
      </c>
      <c r="E498" s="2" t="s">
        <v>226</v>
      </c>
      <c r="F498" s="2" t="str">
        <f>IFERROR(__xludf.DUMMYFUNCTION("SPLIT(E498, ""-"")"),"Laptop")</f>
        <v>Laptop</v>
      </c>
      <c r="G498" s="2" t="str">
        <f>IFERROR(__xludf.DUMMYFUNCTION("""COMPUTED_VALUE"""),"Oficina")</f>
        <v>Oficina</v>
      </c>
      <c r="H498" s="2" t="str">
        <f>IFERROR(__xludf.DUMMYFUNCTION("""COMPUTED_VALUE"""),"4GB")</f>
        <v>4GB</v>
      </c>
      <c r="I498" s="17">
        <v>1168.3</v>
      </c>
      <c r="J498" s="6">
        <v>3.0</v>
      </c>
      <c r="K498" s="17">
        <v>3504.9</v>
      </c>
      <c r="L498" s="2" t="s">
        <v>1561</v>
      </c>
      <c r="M498" s="2" t="s">
        <v>1562</v>
      </c>
      <c r="N498" s="2" t="s">
        <v>1563</v>
      </c>
    </row>
    <row r="499" ht="15.75" customHeight="1">
      <c r="A499" s="18">
        <v>45624.0</v>
      </c>
      <c r="B499" s="16" t="str">
        <f t="shared" si="1"/>
        <v>November</v>
      </c>
      <c r="C499" s="2" t="s">
        <v>9</v>
      </c>
      <c r="D499" s="2" t="str">
        <f t="shared" si="2"/>
        <v>Monterrey</v>
      </c>
      <c r="E499" s="2" t="s">
        <v>165</v>
      </c>
      <c r="F499" s="2" t="str">
        <f>IFERROR(__xludf.DUMMYFUNCTION("SPLIT(E499, ""-"")"),"Auriculares")</f>
        <v>Auriculares</v>
      </c>
      <c r="G499" s="2" t="str">
        <f>IFERROR(__xludf.DUMMYFUNCTION("""COMPUTED_VALUE"""),"Bluetooth")</f>
        <v>Bluetooth</v>
      </c>
      <c r="H499" s="2" t="str">
        <f>IFERROR(__xludf.DUMMYFUNCTION("""COMPUTED_VALUE"""),"32GB")</f>
        <v>32GB</v>
      </c>
      <c r="I499" s="17">
        <v>1654.16</v>
      </c>
      <c r="J499" s="6">
        <v>1.0</v>
      </c>
      <c r="K499" s="17">
        <v>1654.16</v>
      </c>
      <c r="L499" s="2" t="s">
        <v>1564</v>
      </c>
      <c r="M499" s="2" t="s">
        <v>1565</v>
      </c>
      <c r="N499" s="2" t="s">
        <v>1566</v>
      </c>
    </row>
    <row r="500" ht="15.75" customHeight="1">
      <c r="A500" s="18">
        <v>45624.0</v>
      </c>
      <c r="B500" s="16" t="str">
        <f t="shared" si="1"/>
        <v>November</v>
      </c>
      <c r="C500" s="2" t="s">
        <v>9</v>
      </c>
      <c r="D500" s="2" t="str">
        <f t="shared" si="2"/>
        <v>Monterrey</v>
      </c>
      <c r="E500" s="2" t="s">
        <v>22</v>
      </c>
      <c r="F500" s="2" t="str">
        <f>IFERROR(__xludf.DUMMYFUNCTION("SPLIT(E500, ""-"")"),"Tablet")</f>
        <v>Tablet</v>
      </c>
      <c r="G500" s="2" t="str">
        <f>IFERROR(__xludf.DUMMYFUNCTION("""COMPUTED_VALUE"""),"Estándar")</f>
        <v>Estándar</v>
      </c>
      <c r="H500" s="2" t="str">
        <f>IFERROR(__xludf.DUMMYFUNCTION("""COMPUTED_VALUE"""),"16GB")</f>
        <v>16GB</v>
      </c>
      <c r="I500" s="17">
        <v>563.92</v>
      </c>
      <c r="J500" s="6">
        <v>2.0</v>
      </c>
      <c r="K500" s="17">
        <v>1127.84</v>
      </c>
      <c r="L500" s="2" t="s">
        <v>1567</v>
      </c>
      <c r="M500" s="2" t="s">
        <v>1568</v>
      </c>
      <c r="N500" s="2" t="s">
        <v>1569</v>
      </c>
    </row>
    <row r="501" ht="15.75" customHeight="1">
      <c r="A501" s="18">
        <v>45624.0</v>
      </c>
      <c r="B501" s="16" t="str">
        <f t="shared" si="1"/>
        <v>November</v>
      </c>
      <c r="C501" s="2" t="s">
        <v>74</v>
      </c>
      <c r="D501" s="2" t="str">
        <f t="shared" si="2"/>
        <v>Cali</v>
      </c>
      <c r="E501" s="2" t="s">
        <v>130</v>
      </c>
      <c r="F501" s="2" t="str">
        <f>IFERROR(__xludf.DUMMYFUNCTION("SPLIT(E501, ""-"")"),"Tablet")</f>
        <v>Tablet</v>
      </c>
      <c r="G501" s="2" t="str">
        <f>IFERROR(__xludf.DUMMYFUNCTION("""COMPUTED_VALUE"""),"Pro")</f>
        <v>Pro</v>
      </c>
      <c r="H501" s="2" t="str">
        <f>IFERROR(__xludf.DUMMYFUNCTION("""COMPUTED_VALUE"""),"8GB")</f>
        <v>8GB</v>
      </c>
      <c r="I501" s="17">
        <v>684.7</v>
      </c>
      <c r="J501" s="6">
        <v>5.0</v>
      </c>
      <c r="K501" s="17">
        <v>3423.5</v>
      </c>
      <c r="L501" s="2" t="s">
        <v>1570</v>
      </c>
      <c r="M501" s="2" t="s">
        <v>1571</v>
      </c>
      <c r="N501" s="2" t="s">
        <v>1572</v>
      </c>
    </row>
    <row r="502" ht="15.75" customHeight="1">
      <c r="A502" s="18">
        <v>45624.0</v>
      </c>
      <c r="B502" s="16" t="str">
        <f t="shared" si="1"/>
        <v>November</v>
      </c>
      <c r="C502" s="2" t="s">
        <v>57</v>
      </c>
      <c r="D502" s="2" t="str">
        <f t="shared" si="2"/>
        <v>Guadalajara</v>
      </c>
      <c r="E502" s="2" t="s">
        <v>58</v>
      </c>
      <c r="F502" s="2" t="str">
        <f>IFERROR(__xludf.DUMMYFUNCTION("SPLIT(E502, ""-"")"),"Auriculares")</f>
        <v>Auriculares</v>
      </c>
      <c r="G502" s="2" t="str">
        <f>IFERROR(__xludf.DUMMYFUNCTION("""COMPUTED_VALUE"""),"Bluetooth")</f>
        <v>Bluetooth</v>
      </c>
      <c r="H502" s="2" t="str">
        <f>IFERROR(__xludf.DUMMYFUNCTION("""COMPUTED_VALUE"""),"4GB")</f>
        <v>4GB</v>
      </c>
      <c r="I502" s="17">
        <v>1496.64</v>
      </c>
      <c r="J502" s="6">
        <v>2.0</v>
      </c>
      <c r="K502" s="17">
        <v>2993.28</v>
      </c>
      <c r="L502" s="2" t="s">
        <v>1573</v>
      </c>
      <c r="M502" s="2" t="s">
        <v>1574</v>
      </c>
      <c r="N502" s="2" t="s">
        <v>1575</v>
      </c>
    </row>
    <row r="503" ht="15.75" customHeight="1">
      <c r="A503" s="18">
        <v>45625.0</v>
      </c>
      <c r="B503" s="16" t="str">
        <f t="shared" si="1"/>
        <v>November</v>
      </c>
      <c r="C503" s="2" t="s">
        <v>57</v>
      </c>
      <c r="D503" s="2" t="str">
        <f t="shared" si="2"/>
        <v>Guadalajara</v>
      </c>
      <c r="E503" s="2" t="s">
        <v>66</v>
      </c>
      <c r="F503" s="2" t="str">
        <f>IFERROR(__xludf.DUMMYFUNCTION("SPLIT(E503, ""-"")"),"Tablet")</f>
        <v>Tablet</v>
      </c>
      <c r="G503" s="2" t="str">
        <f>IFERROR(__xludf.DUMMYFUNCTION("""COMPUTED_VALUE"""),"Estándar")</f>
        <v>Estándar</v>
      </c>
      <c r="H503" s="2" t="str">
        <f>IFERROR(__xludf.DUMMYFUNCTION("""COMPUTED_VALUE"""),"4GB")</f>
        <v>4GB</v>
      </c>
      <c r="I503" s="17">
        <v>337.5</v>
      </c>
      <c r="J503" s="6">
        <v>5.0</v>
      </c>
      <c r="K503" s="17">
        <v>1687.5</v>
      </c>
      <c r="L503" s="2" t="s">
        <v>1576</v>
      </c>
      <c r="M503" s="2" t="s">
        <v>1577</v>
      </c>
      <c r="N503" s="8" t="s">
        <v>1578</v>
      </c>
    </row>
    <row r="504" ht="15.75" customHeight="1">
      <c r="A504" s="18">
        <v>45625.0</v>
      </c>
      <c r="B504" s="16" t="str">
        <f t="shared" si="1"/>
        <v>November</v>
      </c>
      <c r="C504" s="2" t="s">
        <v>57</v>
      </c>
      <c r="D504" s="2" t="str">
        <f t="shared" si="2"/>
        <v>Guadalajara</v>
      </c>
      <c r="E504" s="2" t="s">
        <v>316</v>
      </c>
      <c r="F504" s="2" t="str">
        <f>IFERROR(__xludf.DUMMYFUNCTION("SPLIT(E504, ""-"")"),"Tablet")</f>
        <v>Tablet</v>
      </c>
      <c r="G504" s="2" t="str">
        <f>IFERROR(__xludf.DUMMYFUNCTION("""COMPUTED_VALUE"""),"Pro")</f>
        <v>Pro</v>
      </c>
      <c r="H504" s="2" t="str">
        <f>IFERROR(__xludf.DUMMYFUNCTION("""COMPUTED_VALUE"""),"32GB")</f>
        <v>32GB</v>
      </c>
      <c r="I504" s="17">
        <v>251.95</v>
      </c>
      <c r="J504" s="6">
        <v>5.0</v>
      </c>
      <c r="K504" s="17">
        <v>1259.75</v>
      </c>
      <c r="L504" s="2" t="s">
        <v>1579</v>
      </c>
      <c r="M504" s="2" t="s">
        <v>1580</v>
      </c>
      <c r="N504" s="2" t="s">
        <v>1581</v>
      </c>
    </row>
    <row r="505" ht="15.75" customHeight="1">
      <c r="A505" s="18">
        <v>45625.0</v>
      </c>
      <c r="B505" s="16" t="str">
        <f t="shared" si="1"/>
        <v>November</v>
      </c>
      <c r="C505" s="3" t="s">
        <v>29</v>
      </c>
      <c r="D505" s="2" t="str">
        <f t="shared" si="2"/>
        <v>Ciudad De Mexico</v>
      </c>
      <c r="E505" s="2" t="s">
        <v>137</v>
      </c>
      <c r="F505" s="2" t="str">
        <f>IFERROR(__xludf.DUMMYFUNCTION("SPLIT(E505, ""-"")"),"Auriculares")</f>
        <v>Auriculares</v>
      </c>
      <c r="G505" s="2" t="str">
        <f>IFERROR(__xludf.DUMMYFUNCTION("""COMPUTED_VALUE"""),"Con cable")</f>
        <v>Con cable</v>
      </c>
      <c r="H505" s="2" t="str">
        <f>IFERROR(__xludf.DUMMYFUNCTION("""COMPUTED_VALUE"""),"16GB")</f>
        <v>16GB</v>
      </c>
      <c r="I505" s="17">
        <v>568.57</v>
      </c>
      <c r="J505" s="6">
        <v>3.0</v>
      </c>
      <c r="K505" s="17">
        <v>1705.71</v>
      </c>
      <c r="L505" s="2" t="s">
        <v>1582</v>
      </c>
      <c r="M505" s="2" t="s">
        <v>1583</v>
      </c>
      <c r="N505" s="2" t="s">
        <v>1584</v>
      </c>
    </row>
    <row r="506" ht="15.75" customHeight="1">
      <c r="A506" s="18">
        <v>45625.0</v>
      </c>
      <c r="B506" s="16" t="str">
        <f t="shared" si="1"/>
        <v>November</v>
      </c>
      <c r="C506" s="2" t="s">
        <v>9</v>
      </c>
      <c r="D506" s="2" t="str">
        <f t="shared" si="2"/>
        <v>Monterrey</v>
      </c>
      <c r="E506" s="2" t="s">
        <v>1585</v>
      </c>
      <c r="F506" s="2" t="str">
        <f>IFERROR(__xludf.DUMMYFUNCTION("SPLIT(E506, ""-"")"),"Laptop")</f>
        <v>Laptop</v>
      </c>
      <c r="G506" s="2" t="str">
        <f>IFERROR(__xludf.DUMMYFUNCTION("""COMPUTED_VALUE"""),"Gaming")</f>
        <v>Gaming</v>
      </c>
      <c r="H506" s="2" t="str">
        <f>IFERROR(__xludf.DUMMYFUNCTION("""COMPUTED_VALUE"""),"4GB ")</f>
        <v>4GB </v>
      </c>
      <c r="I506" s="17">
        <v>1491.36</v>
      </c>
      <c r="J506" s="6">
        <v>2.0</v>
      </c>
      <c r="K506" s="17">
        <v>2982.72</v>
      </c>
      <c r="L506" s="2" t="s">
        <v>1586</v>
      </c>
      <c r="M506" s="2" t="s">
        <v>1587</v>
      </c>
      <c r="N506" s="2" t="s">
        <v>1588</v>
      </c>
    </row>
    <row r="507" ht="15.75" customHeight="1">
      <c r="A507" s="18">
        <v>45625.0</v>
      </c>
      <c r="B507" s="16" t="str">
        <f t="shared" si="1"/>
        <v>November</v>
      </c>
      <c r="C507" s="2" t="s">
        <v>74</v>
      </c>
      <c r="D507" s="2" t="str">
        <f t="shared" si="2"/>
        <v>Cali</v>
      </c>
      <c r="E507" s="2" t="s">
        <v>62</v>
      </c>
      <c r="F507" s="2" t="str">
        <f>IFERROR(__xludf.DUMMYFUNCTION("SPLIT(E507, ""-"")"),"Laptop")</f>
        <v>Laptop</v>
      </c>
      <c r="G507" s="2" t="str">
        <f>IFERROR(__xludf.DUMMYFUNCTION("""COMPUTED_VALUE"""),"Ultraliviana")</f>
        <v>Ultraliviana</v>
      </c>
      <c r="H507" s="2" t="str">
        <f>IFERROR(__xludf.DUMMYFUNCTION("""COMPUTED_VALUE"""),"4GB")</f>
        <v>4GB</v>
      </c>
      <c r="I507" s="17">
        <v>1083.91</v>
      </c>
      <c r="J507" s="6">
        <v>3.0</v>
      </c>
      <c r="K507" s="17">
        <v>3251.73</v>
      </c>
      <c r="L507" s="2" t="s">
        <v>1589</v>
      </c>
      <c r="M507" s="2" t="s">
        <v>1590</v>
      </c>
      <c r="N507" s="2" t="s">
        <v>1591</v>
      </c>
    </row>
    <row r="508" ht="15.75" customHeight="1">
      <c r="A508" s="18">
        <v>45625.0</v>
      </c>
      <c r="B508" s="16" t="str">
        <f t="shared" si="1"/>
        <v>November</v>
      </c>
      <c r="C508" s="2" t="s">
        <v>9</v>
      </c>
      <c r="D508" s="2" t="str">
        <f t="shared" si="2"/>
        <v>Monterrey</v>
      </c>
      <c r="E508" s="2" t="s">
        <v>10</v>
      </c>
      <c r="F508" s="2" t="str">
        <f>IFERROR(__xludf.DUMMYFUNCTION("SPLIT(E508, ""-"")"),"Tablet")</f>
        <v>Tablet</v>
      </c>
      <c r="G508" s="2" t="str">
        <f>IFERROR(__xludf.DUMMYFUNCTION("""COMPUTED_VALUE"""),"Estándar")</f>
        <v>Estándar</v>
      </c>
      <c r="H508" s="2" t="str">
        <f>IFERROR(__xludf.DUMMYFUNCTION("""COMPUTED_VALUE"""),"8GB")</f>
        <v>8GB</v>
      </c>
      <c r="I508" s="17">
        <v>2254.91</v>
      </c>
      <c r="J508" s="6">
        <v>4.0</v>
      </c>
      <c r="K508" s="17">
        <v>9019.64</v>
      </c>
      <c r="L508" s="2" t="s">
        <v>1592</v>
      </c>
      <c r="M508" s="2" t="s">
        <v>1593</v>
      </c>
      <c r="N508" s="2" t="s">
        <v>1594</v>
      </c>
    </row>
    <row r="509" ht="15.75" customHeight="1">
      <c r="A509" s="18">
        <v>45625.0</v>
      </c>
      <c r="B509" s="16" t="str">
        <f t="shared" si="1"/>
        <v>November</v>
      </c>
      <c r="C509" s="3" t="s">
        <v>29</v>
      </c>
      <c r="D509" s="2" t="str">
        <f t="shared" si="2"/>
        <v>Ciudad De Mexico</v>
      </c>
      <c r="E509" s="2" t="s">
        <v>161</v>
      </c>
      <c r="F509" s="2" t="str">
        <f>IFERROR(__xludf.DUMMYFUNCTION("SPLIT(E509, ""-"")"),"Laptop")</f>
        <v>Laptop</v>
      </c>
      <c r="G509" s="2" t="str">
        <f>IFERROR(__xludf.DUMMYFUNCTION("""COMPUTED_VALUE"""),"Oficina")</f>
        <v>Oficina</v>
      </c>
      <c r="H509" s="2" t="str">
        <f>IFERROR(__xludf.DUMMYFUNCTION("""COMPUTED_VALUE"""),"32GB")</f>
        <v>32GB</v>
      </c>
      <c r="I509" s="17">
        <v>1615.43</v>
      </c>
      <c r="J509" s="6">
        <v>5.0</v>
      </c>
      <c r="K509" s="17">
        <v>8077.15</v>
      </c>
      <c r="L509" s="2" t="s">
        <v>1595</v>
      </c>
      <c r="M509" s="2" t="s">
        <v>1596</v>
      </c>
      <c r="N509" s="2" t="s">
        <v>1597</v>
      </c>
    </row>
    <row r="510" ht="15.75" customHeight="1">
      <c r="A510" s="18">
        <v>45625.0</v>
      </c>
      <c r="B510" s="16" t="str">
        <f t="shared" si="1"/>
        <v>November</v>
      </c>
      <c r="C510" s="2" t="s">
        <v>74</v>
      </c>
      <c r="D510" s="2" t="str">
        <f t="shared" si="2"/>
        <v>Cali</v>
      </c>
      <c r="E510" s="2" t="s">
        <v>252</v>
      </c>
      <c r="F510" s="2" t="str">
        <f>IFERROR(__xludf.DUMMYFUNCTION("SPLIT(E510, ""-"")"),"Auriculares")</f>
        <v>Auriculares</v>
      </c>
      <c r="G510" s="2" t="str">
        <f>IFERROR(__xludf.DUMMYFUNCTION("""COMPUTED_VALUE"""),"Bluetooth")</f>
        <v>Bluetooth</v>
      </c>
      <c r="H510" s="2" t="str">
        <f>IFERROR(__xludf.DUMMYFUNCTION("""COMPUTED_VALUE"""),"8GB")</f>
        <v>8GB</v>
      </c>
      <c r="I510" s="17">
        <v>411.02</v>
      </c>
      <c r="J510" s="6">
        <v>1.0</v>
      </c>
      <c r="K510" s="17">
        <v>411.02</v>
      </c>
      <c r="L510" s="2" t="s">
        <v>1598</v>
      </c>
      <c r="M510" s="2" t="s">
        <v>1599</v>
      </c>
      <c r="N510" s="2" t="s">
        <v>1600</v>
      </c>
    </row>
    <row r="511" ht="15.75" customHeight="1">
      <c r="A511" s="18">
        <v>45626.0</v>
      </c>
      <c r="B511" s="16" t="str">
        <f t="shared" si="1"/>
        <v>November</v>
      </c>
      <c r="C511" s="2" t="s">
        <v>57</v>
      </c>
      <c r="D511" s="2" t="str">
        <f t="shared" si="2"/>
        <v>Guadalajara</v>
      </c>
      <c r="E511" s="2" t="s">
        <v>316</v>
      </c>
      <c r="F511" s="2" t="str">
        <f>IFERROR(__xludf.DUMMYFUNCTION("SPLIT(E511, ""-"")"),"Tablet")</f>
        <v>Tablet</v>
      </c>
      <c r="G511" s="2" t="str">
        <f>IFERROR(__xludf.DUMMYFUNCTION("""COMPUTED_VALUE"""),"Pro")</f>
        <v>Pro</v>
      </c>
      <c r="H511" s="2" t="str">
        <f>IFERROR(__xludf.DUMMYFUNCTION("""COMPUTED_VALUE"""),"32GB")</f>
        <v>32GB</v>
      </c>
      <c r="I511" s="17">
        <v>1109.64</v>
      </c>
      <c r="J511" s="6">
        <v>3.0</v>
      </c>
      <c r="K511" s="20">
        <f>I511*J511</f>
        <v>3328.92</v>
      </c>
      <c r="L511" s="2" t="s">
        <v>1601</v>
      </c>
      <c r="M511" s="2" t="s">
        <v>1602</v>
      </c>
      <c r="N511" s="2" t="s">
        <v>1603</v>
      </c>
    </row>
    <row r="512" ht="15.75" customHeight="1">
      <c r="A512" s="18">
        <v>45626.0</v>
      </c>
      <c r="B512" s="16" t="str">
        <f t="shared" si="1"/>
        <v>November</v>
      </c>
      <c r="C512" s="2" t="s">
        <v>34</v>
      </c>
      <c r="D512" s="2" t="str">
        <f t="shared" si="2"/>
        <v>Medellín</v>
      </c>
      <c r="E512" s="2" t="s">
        <v>79</v>
      </c>
      <c r="F512" s="2" t="str">
        <f>IFERROR(__xludf.DUMMYFUNCTION("SPLIT(E512, ""-"")"),"Laptop")</f>
        <v>Laptop</v>
      </c>
      <c r="G512" s="2" t="str">
        <f>IFERROR(__xludf.DUMMYFUNCTION("""COMPUTED_VALUE"""),"Oficina")</f>
        <v>Oficina</v>
      </c>
      <c r="H512" s="2" t="str">
        <f>IFERROR(__xludf.DUMMYFUNCTION("""COMPUTED_VALUE"""),"16GB")</f>
        <v>16GB</v>
      </c>
      <c r="I512" s="17">
        <v>2256.04</v>
      </c>
      <c r="J512" s="6">
        <v>5.0</v>
      </c>
      <c r="K512" s="17">
        <v>11280.2</v>
      </c>
      <c r="L512" s="2" t="s">
        <v>1604</v>
      </c>
      <c r="M512" s="2" t="s">
        <v>1605</v>
      </c>
      <c r="N512" s="2" t="s">
        <v>1606</v>
      </c>
    </row>
    <row r="513" ht="15.75" customHeight="1">
      <c r="A513" s="18">
        <v>45626.0</v>
      </c>
      <c r="B513" s="16" t="str">
        <f t="shared" si="1"/>
        <v>November</v>
      </c>
      <c r="C513" s="3" t="s">
        <v>29</v>
      </c>
      <c r="D513" s="2" t="str">
        <f t="shared" si="2"/>
        <v>Ciudad De Mexico</v>
      </c>
      <c r="E513" s="2" t="s">
        <v>88</v>
      </c>
      <c r="F513" s="2" t="str">
        <f>IFERROR(__xludf.DUMMYFUNCTION("SPLIT(E513, ""-"")"),"Laptop")</f>
        <v>Laptop</v>
      </c>
      <c r="G513" s="2" t="str">
        <f>IFERROR(__xludf.DUMMYFUNCTION("""COMPUTED_VALUE"""),"Gaming")</f>
        <v>Gaming</v>
      </c>
      <c r="H513" s="2" t="str">
        <f>IFERROR(__xludf.DUMMYFUNCTION("""COMPUTED_VALUE"""),"32GB")</f>
        <v>32GB</v>
      </c>
      <c r="I513" s="17">
        <v>616.36</v>
      </c>
      <c r="J513" s="6">
        <v>4.0</v>
      </c>
      <c r="K513" s="17">
        <v>2465.44</v>
      </c>
      <c r="L513" s="2" t="s">
        <v>1607</v>
      </c>
      <c r="M513" s="2" t="s">
        <v>1608</v>
      </c>
      <c r="N513" s="2" t="s">
        <v>1609</v>
      </c>
    </row>
    <row r="514" ht="15.75" customHeight="1">
      <c r="A514" s="18">
        <v>45626.0</v>
      </c>
      <c r="B514" s="16" t="str">
        <f t="shared" si="1"/>
        <v>November</v>
      </c>
      <c r="C514" s="2" t="s">
        <v>9</v>
      </c>
      <c r="D514" s="2" t="str">
        <f t="shared" si="2"/>
        <v>Monterrey</v>
      </c>
      <c r="E514" s="2" t="s">
        <v>66</v>
      </c>
      <c r="F514" s="2" t="str">
        <f>IFERROR(__xludf.DUMMYFUNCTION("SPLIT(E514, ""-"")"),"Tablet")</f>
        <v>Tablet</v>
      </c>
      <c r="G514" s="2" t="str">
        <f>IFERROR(__xludf.DUMMYFUNCTION("""COMPUTED_VALUE"""),"Estándar")</f>
        <v>Estándar</v>
      </c>
      <c r="H514" s="2" t="str">
        <f>IFERROR(__xludf.DUMMYFUNCTION("""COMPUTED_VALUE"""),"4GB")</f>
        <v>4GB</v>
      </c>
      <c r="I514" s="17">
        <v>206.29</v>
      </c>
      <c r="J514" s="6">
        <v>4.0</v>
      </c>
      <c r="K514" s="17">
        <v>825.16</v>
      </c>
      <c r="L514" s="2" t="s">
        <v>1610</v>
      </c>
      <c r="M514" s="2" t="s">
        <v>1611</v>
      </c>
      <c r="N514" s="2" t="s">
        <v>1612</v>
      </c>
    </row>
    <row r="515" ht="15.75" customHeight="1">
      <c r="A515" s="18">
        <v>45626.0</v>
      </c>
      <c r="B515" s="16" t="str">
        <f t="shared" si="1"/>
        <v>November</v>
      </c>
      <c r="C515" s="2" t="s">
        <v>34</v>
      </c>
      <c r="D515" s="2" t="str">
        <f t="shared" si="2"/>
        <v>Medellín</v>
      </c>
      <c r="E515" s="2" t="s">
        <v>39</v>
      </c>
      <c r="F515" s="2" t="str">
        <f>IFERROR(__xludf.DUMMYFUNCTION("SPLIT(E515, ""-"")"),"Auriculares")</f>
        <v>Auriculares</v>
      </c>
      <c r="G515" s="2" t="str">
        <f>IFERROR(__xludf.DUMMYFUNCTION("""COMPUTED_VALUE"""),"Con cable")</f>
        <v>Con cable</v>
      </c>
      <c r="H515" s="2" t="str">
        <f>IFERROR(__xludf.DUMMYFUNCTION("""COMPUTED_VALUE"""),"8GB")</f>
        <v>8GB</v>
      </c>
      <c r="I515" s="17">
        <v>890.66</v>
      </c>
      <c r="J515" s="6">
        <v>1.0</v>
      </c>
      <c r="K515" s="17">
        <v>890.66</v>
      </c>
      <c r="L515" s="2" t="s">
        <v>1613</v>
      </c>
      <c r="M515" s="2" t="s">
        <v>1614</v>
      </c>
      <c r="N515" s="2" t="s">
        <v>1615</v>
      </c>
    </row>
    <row r="516" ht="15.75" customHeight="1">
      <c r="A516" s="18">
        <v>45626.0</v>
      </c>
      <c r="B516" s="16" t="str">
        <f t="shared" si="1"/>
        <v>November</v>
      </c>
      <c r="C516" s="2" t="s">
        <v>74</v>
      </c>
      <c r="D516" s="2" t="str">
        <f t="shared" si="2"/>
        <v>Cali</v>
      </c>
      <c r="E516" s="2" t="s">
        <v>341</v>
      </c>
      <c r="F516" s="2" t="str">
        <f>IFERROR(__xludf.DUMMYFUNCTION("SPLIT(E516, ""-"")"),"Laptop")</f>
        <v>Laptop</v>
      </c>
      <c r="G516" s="2" t="str">
        <f>IFERROR(__xludf.DUMMYFUNCTION("""COMPUTED_VALUE"""),"Ultraliviana")</f>
        <v>Ultraliviana</v>
      </c>
      <c r="H516" s="2" t="str">
        <f>IFERROR(__xludf.DUMMYFUNCTION("""COMPUTED_VALUE"""),"8GB")</f>
        <v>8GB</v>
      </c>
      <c r="I516" s="17">
        <v>1208.42</v>
      </c>
      <c r="J516" s="6">
        <v>3.0</v>
      </c>
      <c r="K516" s="17">
        <v>3625.26</v>
      </c>
      <c r="L516" s="2" t="s">
        <v>1616</v>
      </c>
      <c r="M516" s="2" t="s">
        <v>1617</v>
      </c>
      <c r="N516" s="2" t="s">
        <v>1618</v>
      </c>
    </row>
    <row r="517" ht="15.75" customHeight="1">
      <c r="A517" s="18">
        <v>45626.0</v>
      </c>
      <c r="B517" s="16" t="str">
        <f t="shared" si="1"/>
        <v>November</v>
      </c>
      <c r="C517" s="2" t="s">
        <v>9</v>
      </c>
      <c r="D517" s="2" t="str">
        <f t="shared" si="2"/>
        <v>Monterrey</v>
      </c>
      <c r="E517" s="2" t="s">
        <v>1619</v>
      </c>
      <c r="F517" s="2" t="str">
        <f>IFERROR(__xludf.DUMMYFUNCTION("SPLIT(E517, ""-"")"),"Tablet")</f>
        <v>Tablet</v>
      </c>
      <c r="G517" s="2" t="str">
        <f>IFERROR(__xludf.DUMMYFUNCTION("""COMPUTED_VALUE"""),"Pro")</f>
        <v>Pro</v>
      </c>
      <c r="H517" s="2" t="str">
        <f>IFERROR(__xludf.DUMMYFUNCTION("""COMPUTED_VALUE"""),"4GB ")</f>
        <v>4GB </v>
      </c>
      <c r="I517" s="17">
        <v>2148.99</v>
      </c>
      <c r="J517" s="6">
        <v>5.0</v>
      </c>
      <c r="K517" s="17">
        <v>10744.95</v>
      </c>
      <c r="L517" s="2" t="s">
        <v>1620</v>
      </c>
      <c r="M517" s="2" t="s">
        <v>1621</v>
      </c>
      <c r="N517" s="2" t="s">
        <v>1622</v>
      </c>
    </row>
    <row r="518" ht="15.75" customHeight="1">
      <c r="A518" s="18">
        <v>45626.0</v>
      </c>
      <c r="B518" s="16" t="str">
        <f t="shared" si="1"/>
        <v>November</v>
      </c>
      <c r="C518" s="2" t="s">
        <v>34</v>
      </c>
      <c r="D518" s="2" t="str">
        <f t="shared" si="2"/>
        <v>Medellín</v>
      </c>
      <c r="E518" s="2" t="s">
        <v>226</v>
      </c>
      <c r="F518" s="2" t="str">
        <f>IFERROR(__xludf.DUMMYFUNCTION("SPLIT(E518, ""-"")"),"Laptop")</f>
        <v>Laptop</v>
      </c>
      <c r="G518" s="2" t="str">
        <f>IFERROR(__xludf.DUMMYFUNCTION("""COMPUTED_VALUE"""),"Oficina")</f>
        <v>Oficina</v>
      </c>
      <c r="H518" s="2" t="str">
        <f>IFERROR(__xludf.DUMMYFUNCTION("""COMPUTED_VALUE"""),"4GB")</f>
        <v>4GB</v>
      </c>
      <c r="I518" s="17">
        <v>1560.05</v>
      </c>
      <c r="J518" s="6">
        <v>1.0</v>
      </c>
      <c r="K518" s="17">
        <v>1560.05</v>
      </c>
      <c r="L518" s="2" t="s">
        <v>1623</v>
      </c>
      <c r="M518" s="2" t="s">
        <v>1624</v>
      </c>
      <c r="N518" s="2" t="s">
        <v>1625</v>
      </c>
    </row>
    <row r="519" ht="15.75" customHeight="1">
      <c r="A519" s="18">
        <v>45627.0</v>
      </c>
      <c r="B519" s="16" t="str">
        <f t="shared" si="1"/>
        <v>December</v>
      </c>
      <c r="C519" s="2" t="s">
        <v>1626</v>
      </c>
      <c r="D519" s="2" t="str">
        <f t="shared" si="2"/>
        <v>Guadalajara</v>
      </c>
      <c r="E519" s="2" t="s">
        <v>179</v>
      </c>
      <c r="F519" s="2" t="str">
        <f>IFERROR(__xludf.DUMMYFUNCTION("SPLIT(E519, ""-"")"),"Tablet")</f>
        <v>Tablet</v>
      </c>
      <c r="G519" s="2" t="str">
        <f>IFERROR(__xludf.DUMMYFUNCTION("""COMPUTED_VALUE"""),"Mini")</f>
        <v>Mini</v>
      </c>
      <c r="H519" s="2" t="str">
        <f>IFERROR(__xludf.DUMMYFUNCTION("""COMPUTED_VALUE"""),"4GB")</f>
        <v>4GB</v>
      </c>
      <c r="I519" s="17">
        <v>1114.1</v>
      </c>
      <c r="J519" s="6">
        <v>3.0</v>
      </c>
      <c r="K519" s="17">
        <v>3342.3</v>
      </c>
      <c r="L519" s="2" t="s">
        <v>1627</v>
      </c>
      <c r="M519" s="2" t="s">
        <v>1628</v>
      </c>
      <c r="N519" s="2" t="s">
        <v>1629</v>
      </c>
    </row>
    <row r="520" ht="15.75" customHeight="1">
      <c r="A520" s="18">
        <v>45627.0</v>
      </c>
      <c r="B520" s="16" t="str">
        <f t="shared" si="1"/>
        <v>December</v>
      </c>
      <c r="C520" s="3" t="s">
        <v>29</v>
      </c>
      <c r="D520" s="2" t="str">
        <f t="shared" si="2"/>
        <v>Ciudad De Mexico</v>
      </c>
      <c r="E520" s="2" t="s">
        <v>10</v>
      </c>
      <c r="F520" s="2" t="str">
        <f>IFERROR(__xludf.DUMMYFUNCTION("SPLIT(E520, ""-"")"),"Tablet")</f>
        <v>Tablet</v>
      </c>
      <c r="G520" s="2" t="str">
        <f>IFERROR(__xludf.DUMMYFUNCTION("""COMPUTED_VALUE"""),"Estándar")</f>
        <v>Estándar</v>
      </c>
      <c r="H520" s="2" t="str">
        <f>IFERROR(__xludf.DUMMYFUNCTION("""COMPUTED_VALUE"""),"8GB")</f>
        <v>8GB</v>
      </c>
      <c r="I520" s="17">
        <v>2261.15</v>
      </c>
      <c r="J520" s="6">
        <v>1.0</v>
      </c>
      <c r="K520" s="17">
        <v>2261.15</v>
      </c>
      <c r="L520" s="2" t="s">
        <v>1630</v>
      </c>
      <c r="M520" s="2" t="s">
        <v>1631</v>
      </c>
      <c r="N520" s="2" t="s">
        <v>1632</v>
      </c>
    </row>
    <row r="521" ht="15.75" customHeight="1">
      <c r="A521" s="18">
        <v>45627.0</v>
      </c>
      <c r="B521" s="16" t="str">
        <f t="shared" si="1"/>
        <v>December</v>
      </c>
      <c r="C521" s="3" t="s">
        <v>29</v>
      </c>
      <c r="D521" s="2" t="str">
        <f t="shared" si="2"/>
        <v>Ciudad De Mexico</v>
      </c>
      <c r="E521" s="2" t="s">
        <v>226</v>
      </c>
      <c r="F521" s="2" t="str">
        <f>IFERROR(__xludf.DUMMYFUNCTION("SPLIT(E521, ""-"")"),"Laptop")</f>
        <v>Laptop</v>
      </c>
      <c r="G521" s="2" t="str">
        <f>IFERROR(__xludf.DUMMYFUNCTION("""COMPUTED_VALUE"""),"Oficina")</f>
        <v>Oficina</v>
      </c>
      <c r="H521" s="2" t="str">
        <f>IFERROR(__xludf.DUMMYFUNCTION("""COMPUTED_VALUE"""),"4GB")</f>
        <v>4GB</v>
      </c>
      <c r="I521" s="17">
        <v>157.89</v>
      </c>
      <c r="J521" s="6">
        <v>1.0</v>
      </c>
      <c r="K521" s="17">
        <v>157.89</v>
      </c>
      <c r="L521" s="2" t="s">
        <v>1633</v>
      </c>
      <c r="M521" s="2" t="s">
        <v>1634</v>
      </c>
      <c r="N521" s="2" t="s">
        <v>1635</v>
      </c>
    </row>
    <row r="522" ht="15.75" customHeight="1">
      <c r="A522" s="18">
        <v>45627.0</v>
      </c>
      <c r="B522" s="16" t="str">
        <f t="shared" si="1"/>
        <v>December</v>
      </c>
      <c r="C522" s="2" t="s">
        <v>14</v>
      </c>
      <c r="D522" s="2" t="str">
        <f t="shared" si="2"/>
        <v>Bogotá</v>
      </c>
      <c r="E522" s="2" t="s">
        <v>183</v>
      </c>
      <c r="F522" s="2" t="str">
        <f>IFERROR(__xludf.DUMMYFUNCTION("SPLIT(E522, ""-"")"),"Auriculares")</f>
        <v>Auriculares</v>
      </c>
      <c r="G522" s="2" t="str">
        <f>IFERROR(__xludf.DUMMYFUNCTION("""COMPUTED_VALUE"""),"Cancelaci√≥n de ruido")</f>
        <v>Cancelaci√≥n de ruido</v>
      </c>
      <c r="H522" s="2" t="str">
        <f>IFERROR(__xludf.DUMMYFUNCTION("""COMPUTED_VALUE"""),"16GB")</f>
        <v>16GB</v>
      </c>
      <c r="I522" s="17">
        <v>2060.35</v>
      </c>
      <c r="J522" s="6">
        <v>3.0</v>
      </c>
      <c r="K522" s="17">
        <v>6181.05</v>
      </c>
      <c r="L522" s="2" t="s">
        <v>1636</v>
      </c>
      <c r="M522" s="2" t="s">
        <v>1637</v>
      </c>
      <c r="N522" s="2" t="s">
        <v>1638</v>
      </c>
    </row>
    <row r="523" ht="15.75" customHeight="1">
      <c r="A523" s="18">
        <v>45628.0</v>
      </c>
      <c r="B523" s="16" t="str">
        <f t="shared" si="1"/>
        <v>December</v>
      </c>
      <c r="C523" s="2" t="s">
        <v>114</v>
      </c>
      <c r="D523" s="2" t="str">
        <f t="shared" si="2"/>
        <v>Guadalajara</v>
      </c>
      <c r="E523" s="2" t="s">
        <v>230</v>
      </c>
      <c r="F523" s="2" t="str">
        <f>IFERROR(__xludf.DUMMYFUNCTION("SPLIT(E523, ""-"")"),"Tablet")</f>
        <v>Tablet</v>
      </c>
      <c r="G523" s="2" t="str">
        <f>IFERROR(__xludf.DUMMYFUNCTION("""COMPUTED_VALUE"""),"Mini")</f>
        <v>Mini</v>
      </c>
      <c r="H523" s="2" t="str">
        <f>IFERROR(__xludf.DUMMYFUNCTION("""COMPUTED_VALUE"""),"16GB")</f>
        <v>16GB</v>
      </c>
      <c r="I523" s="17">
        <v>218.94</v>
      </c>
      <c r="J523" s="6">
        <v>3.0</v>
      </c>
      <c r="K523" s="17">
        <v>656.82</v>
      </c>
      <c r="L523" s="2" t="s">
        <v>1639</v>
      </c>
      <c r="M523" s="2" t="s">
        <v>1640</v>
      </c>
      <c r="N523" s="2" t="s">
        <v>1641</v>
      </c>
    </row>
    <row r="524" ht="15.75" customHeight="1">
      <c r="A524" s="18">
        <v>45628.0</v>
      </c>
      <c r="B524" s="16" t="str">
        <f t="shared" si="1"/>
        <v>December</v>
      </c>
      <c r="C524" s="2" t="s">
        <v>14</v>
      </c>
      <c r="D524" s="2" t="str">
        <f t="shared" si="2"/>
        <v>Bogotá</v>
      </c>
      <c r="E524" s="2" t="s">
        <v>169</v>
      </c>
      <c r="F524" s="2" t="str">
        <f>IFERROR(__xludf.DUMMYFUNCTION("SPLIT(E524, ""-"")"),"Teléfono")</f>
        <v>Teléfono</v>
      </c>
      <c r="G524" s="2" t="str">
        <f>IFERROR(__xludf.DUMMYFUNCTION("""COMPUTED_VALUE"""),"Gama baja")</f>
        <v>Gama baja</v>
      </c>
      <c r="H524" s="2" t="str">
        <f>IFERROR(__xludf.DUMMYFUNCTION("""COMPUTED_VALUE"""),"4GB")</f>
        <v>4GB</v>
      </c>
      <c r="I524" s="17">
        <v>78.53</v>
      </c>
      <c r="J524" s="6">
        <v>2.0</v>
      </c>
      <c r="K524" s="17">
        <v>157.06</v>
      </c>
      <c r="L524" s="2" t="s">
        <v>1642</v>
      </c>
      <c r="M524" s="2" t="s">
        <v>1643</v>
      </c>
      <c r="N524" s="2" t="s">
        <v>1644</v>
      </c>
    </row>
    <row r="525" ht="15.75" customHeight="1">
      <c r="A525" s="18">
        <v>45629.0</v>
      </c>
      <c r="B525" s="16" t="str">
        <f t="shared" si="1"/>
        <v>December</v>
      </c>
      <c r="C525" s="2" t="s">
        <v>34</v>
      </c>
      <c r="D525" s="2" t="str">
        <f t="shared" si="2"/>
        <v>Medellín</v>
      </c>
      <c r="E525" s="2" t="s">
        <v>88</v>
      </c>
      <c r="F525" s="2" t="str">
        <f>IFERROR(__xludf.DUMMYFUNCTION("SPLIT(E525, ""-"")"),"Laptop")</f>
        <v>Laptop</v>
      </c>
      <c r="G525" s="2" t="str">
        <f>IFERROR(__xludf.DUMMYFUNCTION("""COMPUTED_VALUE"""),"Gaming")</f>
        <v>Gaming</v>
      </c>
      <c r="H525" s="2" t="str">
        <f>IFERROR(__xludf.DUMMYFUNCTION("""COMPUTED_VALUE"""),"32GB")</f>
        <v>32GB</v>
      </c>
      <c r="I525" s="17">
        <v>2294.28</v>
      </c>
      <c r="J525" s="6">
        <v>1.0</v>
      </c>
      <c r="K525" s="17">
        <v>2294.28</v>
      </c>
      <c r="L525" s="2" t="s">
        <v>1645</v>
      </c>
      <c r="M525" s="2" t="s">
        <v>1646</v>
      </c>
      <c r="N525" s="2" t="s">
        <v>1647</v>
      </c>
    </row>
    <row r="526" ht="15.75" customHeight="1">
      <c r="A526" s="18">
        <v>45629.0</v>
      </c>
      <c r="B526" s="16" t="str">
        <f t="shared" si="1"/>
        <v>December</v>
      </c>
      <c r="C526" s="2" t="s">
        <v>114</v>
      </c>
      <c r="D526" s="2" t="str">
        <f t="shared" si="2"/>
        <v>Guadalajara</v>
      </c>
      <c r="E526" s="2" t="s">
        <v>215</v>
      </c>
      <c r="F526" s="2" t="str">
        <f>IFERROR(__xludf.DUMMYFUNCTION("SPLIT(E526, ""-"")"),"Teléfono")</f>
        <v>Teléfono</v>
      </c>
      <c r="G526" s="2" t="str">
        <f>IFERROR(__xludf.DUMMYFUNCTION("""COMPUTED_VALUE"""),"Gama media")</f>
        <v>Gama media</v>
      </c>
      <c r="H526" s="2" t="str">
        <f>IFERROR(__xludf.DUMMYFUNCTION("""COMPUTED_VALUE"""),"4GB")</f>
        <v>4GB</v>
      </c>
      <c r="I526" s="17">
        <v>90.89</v>
      </c>
      <c r="J526" s="6">
        <v>1.0</v>
      </c>
      <c r="K526" s="17">
        <v>90.89</v>
      </c>
      <c r="L526" s="2" t="s">
        <v>1648</v>
      </c>
      <c r="M526" s="2" t="s">
        <v>1649</v>
      </c>
      <c r="N526" s="2" t="s">
        <v>1650</v>
      </c>
    </row>
    <row r="527" ht="15.75" customHeight="1">
      <c r="A527" s="18">
        <v>45629.0</v>
      </c>
      <c r="B527" s="16" t="str">
        <f t="shared" si="1"/>
        <v>December</v>
      </c>
      <c r="C527" s="3" t="s">
        <v>29</v>
      </c>
      <c r="D527" s="2" t="str">
        <f t="shared" si="2"/>
        <v>Ciudad De Mexico</v>
      </c>
      <c r="E527" s="2" t="s">
        <v>39</v>
      </c>
      <c r="F527" s="2" t="str">
        <f>IFERROR(__xludf.DUMMYFUNCTION("SPLIT(E527, ""-"")"),"Auriculares")</f>
        <v>Auriculares</v>
      </c>
      <c r="G527" s="2" t="str">
        <f>IFERROR(__xludf.DUMMYFUNCTION("""COMPUTED_VALUE"""),"Con cable")</f>
        <v>Con cable</v>
      </c>
      <c r="H527" s="2" t="str">
        <f>IFERROR(__xludf.DUMMYFUNCTION("""COMPUTED_VALUE"""),"8GB")</f>
        <v>8GB</v>
      </c>
      <c r="I527" s="17">
        <v>1464.04</v>
      </c>
      <c r="J527" s="6">
        <v>4.0</v>
      </c>
      <c r="K527" s="17">
        <v>5856.16</v>
      </c>
      <c r="L527" s="2" t="s">
        <v>1651</v>
      </c>
      <c r="M527" s="2" t="s">
        <v>1652</v>
      </c>
      <c r="N527" s="2" t="s">
        <v>1653</v>
      </c>
    </row>
    <row r="528" ht="15.75" customHeight="1">
      <c r="A528" s="18">
        <v>45629.0</v>
      </c>
      <c r="B528" s="16" t="str">
        <f t="shared" si="1"/>
        <v>December</v>
      </c>
      <c r="C528" s="2" t="s">
        <v>74</v>
      </c>
      <c r="D528" s="2" t="str">
        <f t="shared" si="2"/>
        <v>Cali</v>
      </c>
      <c r="E528" s="2" t="s">
        <v>341</v>
      </c>
      <c r="F528" s="2" t="str">
        <f>IFERROR(__xludf.DUMMYFUNCTION("SPLIT(E528, ""-"")"),"Laptop")</f>
        <v>Laptop</v>
      </c>
      <c r="G528" s="2" t="str">
        <f>IFERROR(__xludf.DUMMYFUNCTION("""COMPUTED_VALUE"""),"Ultraliviana")</f>
        <v>Ultraliviana</v>
      </c>
      <c r="H528" s="2" t="str">
        <f>IFERROR(__xludf.DUMMYFUNCTION("""COMPUTED_VALUE"""),"8GB")</f>
        <v>8GB</v>
      </c>
      <c r="I528" s="17">
        <v>690.26</v>
      </c>
      <c r="J528" s="6">
        <v>4.0</v>
      </c>
      <c r="K528" s="17">
        <v>2761.04</v>
      </c>
      <c r="L528" s="2" t="s">
        <v>1654</v>
      </c>
      <c r="M528" s="2" t="s">
        <v>1655</v>
      </c>
      <c r="N528" s="2" t="s">
        <v>1656</v>
      </c>
    </row>
    <row r="529" ht="15.75" customHeight="1">
      <c r="A529" s="18">
        <v>45630.0</v>
      </c>
      <c r="B529" s="16" t="str">
        <f t="shared" si="1"/>
        <v>December</v>
      </c>
      <c r="C529" s="2" t="s">
        <v>74</v>
      </c>
      <c r="D529" s="2" t="str">
        <f t="shared" si="2"/>
        <v>Cali</v>
      </c>
      <c r="E529" s="2" t="s">
        <v>279</v>
      </c>
      <c r="F529" s="2" t="str">
        <f>IFERROR(__xludf.DUMMYFUNCTION("SPLIT(E529, ""-"")"),"Tablet")</f>
        <v>Tablet</v>
      </c>
      <c r="G529" s="2" t="str">
        <f>IFERROR(__xludf.DUMMYFUNCTION("""COMPUTED_VALUE"""),"Pro")</f>
        <v>Pro</v>
      </c>
      <c r="H529" s="2" t="str">
        <f>IFERROR(__xludf.DUMMYFUNCTION("""COMPUTED_VALUE"""),"16GB")</f>
        <v>16GB</v>
      </c>
      <c r="I529" s="17">
        <v>1902.94</v>
      </c>
      <c r="J529" s="6">
        <v>4.0</v>
      </c>
      <c r="K529" s="17">
        <v>7611.76</v>
      </c>
      <c r="L529" s="2" t="s">
        <v>1657</v>
      </c>
      <c r="M529" s="2" t="s">
        <v>1658</v>
      </c>
      <c r="N529" s="2" t="s">
        <v>1659</v>
      </c>
    </row>
    <row r="530" ht="15.75" customHeight="1">
      <c r="A530" s="18">
        <v>45630.0</v>
      </c>
      <c r="B530" s="16" t="str">
        <f t="shared" si="1"/>
        <v>December</v>
      </c>
      <c r="C530" s="2" t="s">
        <v>57</v>
      </c>
      <c r="D530" s="2" t="str">
        <f t="shared" si="2"/>
        <v>Guadalajara</v>
      </c>
      <c r="E530" s="2" t="s">
        <v>366</v>
      </c>
      <c r="F530" s="2" t="str">
        <f>IFERROR(__xludf.DUMMYFUNCTION("SPLIT(E530, ""-"")"),"Auriculares")</f>
        <v>Auriculares</v>
      </c>
      <c r="G530" s="2" t="str">
        <f>IFERROR(__xludf.DUMMYFUNCTION("""COMPUTED_VALUE"""),"Con cable")</f>
        <v>Con cable</v>
      </c>
      <c r="H530" s="2" t="str">
        <f>IFERROR(__xludf.DUMMYFUNCTION("""COMPUTED_VALUE"""),"4GB")</f>
        <v>4GB</v>
      </c>
      <c r="I530" s="17">
        <v>2281.58</v>
      </c>
      <c r="J530" s="6">
        <v>1.0</v>
      </c>
      <c r="K530" s="17">
        <v>2281.58</v>
      </c>
      <c r="L530" s="2" t="s">
        <v>1660</v>
      </c>
      <c r="M530" s="2" t="s">
        <v>1661</v>
      </c>
      <c r="N530" s="2" t="s">
        <v>1662</v>
      </c>
    </row>
    <row r="531" ht="15.75" customHeight="1">
      <c r="A531" s="18">
        <v>45630.0</v>
      </c>
      <c r="B531" s="16" t="str">
        <f t="shared" si="1"/>
        <v>December</v>
      </c>
      <c r="C531" s="2" t="s">
        <v>34</v>
      </c>
      <c r="D531" s="2" t="str">
        <f t="shared" si="2"/>
        <v>Medellín</v>
      </c>
      <c r="E531" s="2" t="s">
        <v>165</v>
      </c>
      <c r="F531" s="2" t="str">
        <f>IFERROR(__xludf.DUMMYFUNCTION("SPLIT(E531, ""-"")"),"Auriculares")</f>
        <v>Auriculares</v>
      </c>
      <c r="G531" s="2" t="str">
        <f>IFERROR(__xludf.DUMMYFUNCTION("""COMPUTED_VALUE"""),"Bluetooth")</f>
        <v>Bluetooth</v>
      </c>
      <c r="H531" s="2" t="str">
        <f>IFERROR(__xludf.DUMMYFUNCTION("""COMPUTED_VALUE"""),"32GB")</f>
        <v>32GB</v>
      </c>
      <c r="I531" s="17">
        <v>1019.3</v>
      </c>
      <c r="J531" s="6">
        <v>4.0</v>
      </c>
      <c r="K531" s="17">
        <v>4077.2</v>
      </c>
      <c r="L531" s="2" t="s">
        <v>1663</v>
      </c>
      <c r="M531" s="2" t="s">
        <v>1664</v>
      </c>
      <c r="N531" s="2" t="s">
        <v>1665</v>
      </c>
    </row>
    <row r="532" ht="15.75" customHeight="1">
      <c r="A532" s="18">
        <v>45630.0</v>
      </c>
      <c r="B532" s="16" t="str">
        <f t="shared" si="1"/>
        <v>December</v>
      </c>
      <c r="C532" s="2" t="s">
        <v>87</v>
      </c>
      <c r="D532" s="2" t="str">
        <f t="shared" si="2"/>
        <v>Tulum</v>
      </c>
      <c r="E532" s="2" t="s">
        <v>289</v>
      </c>
      <c r="F532" s="2" t="str">
        <f>IFERROR(__xludf.DUMMYFUNCTION("SPLIT(E532, ""-"")"),"Teléfono")</f>
        <v>Teléfono</v>
      </c>
      <c r="G532" s="2" t="str">
        <f>IFERROR(__xludf.DUMMYFUNCTION("""COMPUTED_VALUE"""),"Gama alta")</f>
        <v>Gama alta</v>
      </c>
      <c r="H532" s="2" t="str">
        <f>IFERROR(__xludf.DUMMYFUNCTION("""COMPUTED_VALUE"""),"16GB")</f>
        <v>16GB</v>
      </c>
      <c r="I532" s="17">
        <v>1113.91</v>
      </c>
      <c r="J532" s="6">
        <v>2.0</v>
      </c>
      <c r="K532" s="17">
        <v>2227.82</v>
      </c>
      <c r="L532" s="2" t="s">
        <v>1666</v>
      </c>
      <c r="M532" s="2" t="s">
        <v>1667</v>
      </c>
      <c r="N532" s="8" t="s">
        <v>1668</v>
      </c>
    </row>
    <row r="533" ht="15.75" customHeight="1">
      <c r="A533" s="18">
        <v>45631.0</v>
      </c>
      <c r="B533" s="16" t="str">
        <f t="shared" si="1"/>
        <v>December</v>
      </c>
      <c r="C533" s="2" t="s">
        <v>57</v>
      </c>
      <c r="D533" s="2" t="str">
        <f t="shared" si="2"/>
        <v>Guadalajara</v>
      </c>
      <c r="E533" s="2" t="s">
        <v>75</v>
      </c>
      <c r="F533" s="2" t="str">
        <f>IFERROR(__xludf.DUMMYFUNCTION("SPLIT(E533, ""-"")"),"Tablet")</f>
        <v>Tablet</v>
      </c>
      <c r="G533" s="2" t="str">
        <f>IFERROR(__xludf.DUMMYFUNCTION("""COMPUTED_VALUE"""),"Mini")</f>
        <v>Mini</v>
      </c>
      <c r="H533" s="2" t="str">
        <f>IFERROR(__xludf.DUMMYFUNCTION("""COMPUTED_VALUE"""),"32GB")</f>
        <v>32GB</v>
      </c>
      <c r="I533" s="17">
        <v>2246.48</v>
      </c>
      <c r="J533" s="6">
        <v>1.0</v>
      </c>
      <c r="K533" s="17">
        <v>2246.48</v>
      </c>
      <c r="L533" s="2" t="s">
        <v>1669</v>
      </c>
      <c r="M533" s="2" t="s">
        <v>1670</v>
      </c>
      <c r="N533" s="2" t="s">
        <v>1671</v>
      </c>
    </row>
    <row r="534" ht="15.75" customHeight="1">
      <c r="A534" s="18">
        <v>45631.0</v>
      </c>
      <c r="B534" s="16" t="str">
        <f t="shared" si="1"/>
        <v>December</v>
      </c>
      <c r="C534" s="3" t="s">
        <v>29</v>
      </c>
      <c r="D534" s="2" t="str">
        <f t="shared" si="2"/>
        <v>Ciudad De Mexico</v>
      </c>
      <c r="E534" s="2" t="s">
        <v>179</v>
      </c>
      <c r="F534" s="2" t="str">
        <f>IFERROR(__xludf.DUMMYFUNCTION("SPLIT(E534, ""-"")"),"Tablet")</f>
        <v>Tablet</v>
      </c>
      <c r="G534" s="2" t="str">
        <f>IFERROR(__xludf.DUMMYFUNCTION("""COMPUTED_VALUE"""),"Mini")</f>
        <v>Mini</v>
      </c>
      <c r="H534" s="2" t="str">
        <f>IFERROR(__xludf.DUMMYFUNCTION("""COMPUTED_VALUE"""),"4GB")</f>
        <v>4GB</v>
      </c>
      <c r="I534" s="17">
        <v>496.1</v>
      </c>
      <c r="J534" s="6">
        <v>3.0</v>
      </c>
      <c r="K534" s="17">
        <v>1488.3</v>
      </c>
      <c r="L534" s="2" t="s">
        <v>1672</v>
      </c>
      <c r="M534" s="2" t="s">
        <v>1673</v>
      </c>
      <c r="N534" s="2" t="s">
        <v>1674</v>
      </c>
    </row>
    <row r="535" ht="15.75" customHeight="1">
      <c r="A535" s="18">
        <v>45631.0</v>
      </c>
      <c r="B535" s="16" t="str">
        <f t="shared" si="1"/>
        <v>December</v>
      </c>
      <c r="C535" s="2" t="s">
        <v>9</v>
      </c>
      <c r="D535" s="2" t="str">
        <f t="shared" si="2"/>
        <v>Monterrey</v>
      </c>
      <c r="E535" s="2" t="s">
        <v>230</v>
      </c>
      <c r="F535" s="2" t="str">
        <f>IFERROR(__xludf.DUMMYFUNCTION("SPLIT(E535, ""-"")"),"Tablet")</f>
        <v>Tablet</v>
      </c>
      <c r="G535" s="2" t="str">
        <f>IFERROR(__xludf.DUMMYFUNCTION("""COMPUTED_VALUE"""),"Mini")</f>
        <v>Mini</v>
      </c>
      <c r="H535" s="2" t="str">
        <f>IFERROR(__xludf.DUMMYFUNCTION("""COMPUTED_VALUE"""),"16GB")</f>
        <v>16GB</v>
      </c>
      <c r="I535" s="17">
        <v>1005.46</v>
      </c>
      <c r="J535" s="6">
        <v>5.0</v>
      </c>
      <c r="K535" s="17">
        <v>5027.3</v>
      </c>
      <c r="L535" s="2" t="s">
        <v>1675</v>
      </c>
      <c r="M535" s="2" t="s">
        <v>1676</v>
      </c>
      <c r="N535" s="2" t="s">
        <v>1677</v>
      </c>
    </row>
    <row r="536" ht="15.75" customHeight="1">
      <c r="A536" s="18">
        <v>45631.0</v>
      </c>
      <c r="B536" s="16" t="str">
        <f t="shared" si="1"/>
        <v>December</v>
      </c>
      <c r="C536" s="2" t="s">
        <v>57</v>
      </c>
      <c r="D536" s="2" t="str">
        <f t="shared" si="2"/>
        <v>Guadalajara</v>
      </c>
      <c r="E536" s="2" t="s">
        <v>386</v>
      </c>
      <c r="F536" s="2" t="str">
        <f>IFERROR(__xludf.DUMMYFUNCTION("SPLIT(E536, ""-"")"),"Auriculares")</f>
        <v>Auriculares</v>
      </c>
      <c r="G536" s="2" t="str">
        <f>IFERROR(__xludf.DUMMYFUNCTION("""COMPUTED_VALUE"""),"Cancelación de ruido")</f>
        <v>Cancelación de ruido</v>
      </c>
      <c r="H536" s="2" t="str">
        <f>IFERROR(__xludf.DUMMYFUNCTION("""COMPUTED_VALUE"""),"4GB")</f>
        <v>4GB</v>
      </c>
      <c r="I536" s="17">
        <v>379.11</v>
      </c>
      <c r="J536" s="6">
        <v>1.0</v>
      </c>
      <c r="K536" s="17">
        <v>379.11</v>
      </c>
      <c r="L536" s="2" t="s">
        <v>1678</v>
      </c>
      <c r="M536" s="2" t="s">
        <v>1679</v>
      </c>
      <c r="N536" s="2" t="s">
        <v>1680</v>
      </c>
    </row>
    <row r="537" ht="15.75" customHeight="1">
      <c r="A537" s="18">
        <v>45631.0</v>
      </c>
      <c r="B537" s="16" t="str">
        <f t="shared" si="1"/>
        <v>December</v>
      </c>
      <c r="C537" s="2" t="s">
        <v>74</v>
      </c>
      <c r="D537" s="2" t="str">
        <f t="shared" si="2"/>
        <v>Cali</v>
      </c>
      <c r="E537" s="2" t="s">
        <v>279</v>
      </c>
      <c r="F537" s="2" t="str">
        <f>IFERROR(__xludf.DUMMYFUNCTION("SPLIT(E537, ""-"")"),"Tablet")</f>
        <v>Tablet</v>
      </c>
      <c r="G537" s="2" t="str">
        <f>IFERROR(__xludf.DUMMYFUNCTION("""COMPUTED_VALUE"""),"Pro")</f>
        <v>Pro</v>
      </c>
      <c r="H537" s="2" t="str">
        <f>IFERROR(__xludf.DUMMYFUNCTION("""COMPUTED_VALUE"""),"16GB")</f>
        <v>16GB</v>
      </c>
      <c r="I537" s="17">
        <v>1742.12</v>
      </c>
      <c r="J537" s="6">
        <v>4.0</v>
      </c>
      <c r="K537" s="17">
        <v>6968.48</v>
      </c>
      <c r="L537" s="2" t="s">
        <v>1681</v>
      </c>
      <c r="M537" s="2" t="s">
        <v>1682</v>
      </c>
      <c r="N537" s="2" t="s">
        <v>1683</v>
      </c>
    </row>
    <row r="538" ht="15.75" customHeight="1">
      <c r="A538" s="18">
        <v>45632.0</v>
      </c>
      <c r="B538" s="16" t="str">
        <f t="shared" si="1"/>
        <v>December</v>
      </c>
      <c r="C538" s="2" t="s">
        <v>34</v>
      </c>
      <c r="D538" s="2" t="str">
        <f t="shared" si="2"/>
        <v>Medellín</v>
      </c>
      <c r="E538" s="2" t="s">
        <v>312</v>
      </c>
      <c r="F538" s="2" t="str">
        <f>IFERROR(__xludf.DUMMYFUNCTION("SPLIT(E538, ""-"")"),"Teléfono")</f>
        <v>Teléfono</v>
      </c>
      <c r="G538" s="2" t="str">
        <f>IFERROR(__xludf.DUMMYFUNCTION("""COMPUTED_VALUE"""),"Gama baja")</f>
        <v>Gama baja</v>
      </c>
      <c r="H538" s="2" t="str">
        <f>IFERROR(__xludf.DUMMYFUNCTION("""COMPUTED_VALUE"""),"8GB")</f>
        <v>8GB</v>
      </c>
      <c r="I538" s="17">
        <v>1143.24</v>
      </c>
      <c r="J538" s="6">
        <v>2.0</v>
      </c>
      <c r="K538" s="17">
        <v>2286.48</v>
      </c>
      <c r="L538" s="2" t="s">
        <v>1684</v>
      </c>
      <c r="M538" s="2" t="s">
        <v>1685</v>
      </c>
      <c r="N538" s="2" t="s">
        <v>1686</v>
      </c>
    </row>
    <row r="539" ht="15.75" customHeight="1">
      <c r="A539" s="18">
        <v>45632.0</v>
      </c>
      <c r="B539" s="16" t="str">
        <f t="shared" si="1"/>
        <v>December</v>
      </c>
      <c r="C539" s="2" t="s">
        <v>9</v>
      </c>
      <c r="D539" s="2" t="str">
        <f t="shared" si="2"/>
        <v>Monterrey</v>
      </c>
      <c r="E539" s="2" t="s">
        <v>308</v>
      </c>
      <c r="F539" s="2" t="str">
        <f>IFERROR(__xludf.DUMMYFUNCTION("SPLIT(E539, ""-"")"),"Laptop")</f>
        <v>Laptop</v>
      </c>
      <c r="G539" s="2" t="str">
        <f>IFERROR(__xludf.DUMMYFUNCTION("""COMPUTED_VALUE"""),"Ultraliviana")</f>
        <v>Ultraliviana</v>
      </c>
      <c r="H539" s="2" t="str">
        <f>IFERROR(__xludf.DUMMYFUNCTION("""COMPUTED_VALUE"""),"32GB")</f>
        <v>32GB</v>
      </c>
      <c r="I539" s="20">
        <f>K539/J539</f>
        <v>1955.27</v>
      </c>
      <c r="J539" s="6">
        <v>1.0</v>
      </c>
      <c r="K539" s="17">
        <v>1955.27</v>
      </c>
      <c r="L539" s="2" t="s">
        <v>1687</v>
      </c>
      <c r="M539" s="2" t="s">
        <v>1688</v>
      </c>
      <c r="N539" s="2" t="s">
        <v>1689</v>
      </c>
    </row>
    <row r="540" ht="15.75" customHeight="1">
      <c r="A540" s="18">
        <v>45632.0</v>
      </c>
      <c r="B540" s="16" t="str">
        <f t="shared" si="1"/>
        <v>December</v>
      </c>
      <c r="C540" s="2" t="s">
        <v>14</v>
      </c>
      <c r="D540" s="2" t="str">
        <f t="shared" si="2"/>
        <v>Bogotá</v>
      </c>
      <c r="E540" s="2" t="s">
        <v>366</v>
      </c>
      <c r="F540" s="2" t="str">
        <f>IFERROR(__xludf.DUMMYFUNCTION("SPLIT(E540, ""-"")"),"Auriculares")</f>
        <v>Auriculares</v>
      </c>
      <c r="G540" s="2" t="str">
        <f>IFERROR(__xludf.DUMMYFUNCTION("""COMPUTED_VALUE"""),"Con cable")</f>
        <v>Con cable</v>
      </c>
      <c r="H540" s="2" t="str">
        <f>IFERROR(__xludf.DUMMYFUNCTION("""COMPUTED_VALUE"""),"4GB")</f>
        <v>4GB</v>
      </c>
      <c r="I540" s="17">
        <v>1440.56</v>
      </c>
      <c r="J540" s="6">
        <v>1.0</v>
      </c>
      <c r="K540" s="17">
        <v>1440.56</v>
      </c>
      <c r="L540" s="2" t="s">
        <v>1690</v>
      </c>
      <c r="M540" s="2" t="s">
        <v>1691</v>
      </c>
      <c r="N540" s="2" t="s">
        <v>1692</v>
      </c>
    </row>
    <row r="541" ht="15.75" customHeight="1">
      <c r="A541" s="18">
        <v>45633.0</v>
      </c>
      <c r="B541" s="16" t="str">
        <f t="shared" si="1"/>
        <v>December</v>
      </c>
      <c r="C541" s="2" t="s">
        <v>9</v>
      </c>
      <c r="D541" s="2" t="str">
        <f t="shared" si="2"/>
        <v>Monterrey</v>
      </c>
      <c r="E541" s="2" t="s">
        <v>396</v>
      </c>
      <c r="F541" s="2" t="str">
        <f>IFERROR(__xludf.DUMMYFUNCTION("SPLIT(E541, ""-"")"),"Laptop")</f>
        <v>Laptop</v>
      </c>
      <c r="G541" s="2" t="str">
        <f>IFERROR(__xludf.DUMMYFUNCTION("""COMPUTED_VALUE"""),"Gaming")</f>
        <v>Gaming</v>
      </c>
      <c r="H541" s="2" t="str">
        <f>IFERROR(__xludf.DUMMYFUNCTION("""COMPUTED_VALUE"""),"4GB")</f>
        <v>4GB</v>
      </c>
      <c r="I541" s="17">
        <v>1636.89</v>
      </c>
      <c r="J541" s="6">
        <v>2.0</v>
      </c>
      <c r="K541" s="17">
        <v>3273.78</v>
      </c>
      <c r="L541" s="2" t="s">
        <v>1693</v>
      </c>
      <c r="M541" s="2" t="s">
        <v>1694</v>
      </c>
      <c r="N541" s="2" t="s">
        <v>1695</v>
      </c>
    </row>
    <row r="542" ht="15.75" customHeight="1">
      <c r="A542" s="18">
        <v>45633.0</v>
      </c>
      <c r="B542" s="16" t="str">
        <f t="shared" si="1"/>
        <v>December</v>
      </c>
      <c r="C542" s="2" t="s">
        <v>74</v>
      </c>
      <c r="D542" s="2" t="str">
        <f t="shared" si="2"/>
        <v>Cali</v>
      </c>
      <c r="E542" s="2" t="s">
        <v>161</v>
      </c>
      <c r="F542" s="2" t="str">
        <f>IFERROR(__xludf.DUMMYFUNCTION("SPLIT(E542, ""-"")"),"Laptop")</f>
        <v>Laptop</v>
      </c>
      <c r="G542" s="2" t="str">
        <f>IFERROR(__xludf.DUMMYFUNCTION("""COMPUTED_VALUE"""),"Oficina")</f>
        <v>Oficina</v>
      </c>
      <c r="H542" s="2" t="str">
        <f>IFERROR(__xludf.DUMMYFUNCTION("""COMPUTED_VALUE"""),"32GB")</f>
        <v>32GB</v>
      </c>
      <c r="I542" s="17">
        <v>979.2</v>
      </c>
      <c r="J542" s="6">
        <v>5.0</v>
      </c>
      <c r="K542" s="17">
        <v>4896.0</v>
      </c>
      <c r="L542" s="2" t="s">
        <v>1696</v>
      </c>
      <c r="M542" s="2" t="s">
        <v>1697</v>
      </c>
      <c r="N542" s="2" t="s">
        <v>1698</v>
      </c>
    </row>
    <row r="543" ht="15.75" customHeight="1">
      <c r="A543" s="18">
        <v>45633.0</v>
      </c>
      <c r="B543" s="16" t="str">
        <f t="shared" si="1"/>
        <v>December</v>
      </c>
      <c r="C543" s="3" t="s">
        <v>29</v>
      </c>
      <c r="D543" s="2" t="str">
        <f t="shared" si="2"/>
        <v>Ciudad De Mexico</v>
      </c>
      <c r="E543" s="2" t="s">
        <v>316</v>
      </c>
      <c r="F543" s="2" t="str">
        <f>IFERROR(__xludf.DUMMYFUNCTION("SPLIT(E543, ""-"")"),"Tablet")</f>
        <v>Tablet</v>
      </c>
      <c r="G543" s="2" t="str">
        <f>IFERROR(__xludf.DUMMYFUNCTION("""COMPUTED_VALUE"""),"Pro")</f>
        <v>Pro</v>
      </c>
      <c r="H543" s="2" t="str">
        <f>IFERROR(__xludf.DUMMYFUNCTION("""COMPUTED_VALUE"""),"32GB")</f>
        <v>32GB</v>
      </c>
      <c r="I543" s="17">
        <v>1566.88</v>
      </c>
      <c r="J543" s="6">
        <v>3.0</v>
      </c>
      <c r="K543" s="17">
        <v>4700.64</v>
      </c>
      <c r="L543" s="2" t="s">
        <v>1699</v>
      </c>
      <c r="M543" s="2" t="s">
        <v>1700</v>
      </c>
      <c r="N543" s="2" t="s">
        <v>1701</v>
      </c>
    </row>
    <row r="544" ht="15.75" customHeight="1">
      <c r="A544" s="18">
        <v>45634.0</v>
      </c>
      <c r="B544" s="16" t="str">
        <f t="shared" si="1"/>
        <v>December</v>
      </c>
      <c r="C544" s="2" t="s">
        <v>9</v>
      </c>
      <c r="D544" s="2" t="str">
        <f t="shared" si="2"/>
        <v>Monterrey</v>
      </c>
      <c r="E544" s="2" t="s">
        <v>279</v>
      </c>
      <c r="F544" s="2" t="str">
        <f>IFERROR(__xludf.DUMMYFUNCTION("SPLIT(E544, ""-"")"),"Tablet")</f>
        <v>Tablet</v>
      </c>
      <c r="G544" s="2" t="str">
        <f>IFERROR(__xludf.DUMMYFUNCTION("""COMPUTED_VALUE"""),"Pro")</f>
        <v>Pro</v>
      </c>
      <c r="H544" s="2" t="str">
        <f>IFERROR(__xludf.DUMMYFUNCTION("""COMPUTED_VALUE"""),"16GB")</f>
        <v>16GB</v>
      </c>
      <c r="I544" s="17">
        <v>1397.7</v>
      </c>
      <c r="J544" s="6">
        <v>3.0</v>
      </c>
      <c r="K544" s="17">
        <v>4193.1</v>
      </c>
      <c r="L544" s="2" t="s">
        <v>1702</v>
      </c>
      <c r="M544" s="2" t="s">
        <v>1703</v>
      </c>
      <c r="N544" s="2" t="s">
        <v>1704</v>
      </c>
    </row>
    <row r="545" ht="15.75" customHeight="1">
      <c r="A545" s="18">
        <v>45634.0</v>
      </c>
      <c r="B545" s="16" t="str">
        <f t="shared" si="1"/>
        <v>December</v>
      </c>
      <c r="C545" s="2" t="s">
        <v>9</v>
      </c>
      <c r="D545" s="2" t="str">
        <f t="shared" si="2"/>
        <v>Monterrey</v>
      </c>
      <c r="E545" s="2" t="s">
        <v>10</v>
      </c>
      <c r="F545" s="2" t="str">
        <f>IFERROR(__xludf.DUMMYFUNCTION("SPLIT(E545, ""-"")"),"Tablet")</f>
        <v>Tablet</v>
      </c>
      <c r="G545" s="2" t="str">
        <f>IFERROR(__xludf.DUMMYFUNCTION("""COMPUTED_VALUE"""),"Estándar")</f>
        <v>Estándar</v>
      </c>
      <c r="H545" s="2" t="str">
        <f>IFERROR(__xludf.DUMMYFUNCTION("""COMPUTED_VALUE"""),"8GB")</f>
        <v>8GB</v>
      </c>
      <c r="I545" s="17">
        <v>155.7</v>
      </c>
      <c r="J545" s="6">
        <v>5.0</v>
      </c>
      <c r="K545" s="17">
        <v>778.5</v>
      </c>
      <c r="L545" s="2" t="s">
        <v>1705</v>
      </c>
      <c r="M545" s="2" t="s">
        <v>1706</v>
      </c>
      <c r="N545" s="2" t="s">
        <v>1707</v>
      </c>
    </row>
    <row r="546" ht="15.75" customHeight="1">
      <c r="A546" s="18">
        <v>45635.0</v>
      </c>
      <c r="B546" s="16" t="str">
        <f t="shared" si="1"/>
        <v>December</v>
      </c>
      <c r="C546" s="3" t="s">
        <v>29</v>
      </c>
      <c r="D546" s="2" t="str">
        <f t="shared" si="2"/>
        <v>Ciudad De Mexico</v>
      </c>
      <c r="E546" s="2" t="s">
        <v>370</v>
      </c>
      <c r="F546" s="2" t="str">
        <f>IFERROR(__xludf.DUMMYFUNCTION("SPLIT(E546, ""-"")"),"Teléfono")</f>
        <v>Teléfono</v>
      </c>
      <c r="G546" s="2" t="str">
        <f>IFERROR(__xludf.DUMMYFUNCTION("""COMPUTED_VALUE"""),"Gama media")</f>
        <v>Gama media</v>
      </c>
      <c r="H546" s="2" t="str">
        <f>IFERROR(__xludf.DUMMYFUNCTION("""COMPUTED_VALUE"""),"16GB")</f>
        <v>16GB</v>
      </c>
      <c r="I546" s="17">
        <v>166.45</v>
      </c>
      <c r="J546" s="6">
        <v>5.0</v>
      </c>
      <c r="K546" s="17">
        <v>832.25</v>
      </c>
      <c r="L546" s="2" t="s">
        <v>1708</v>
      </c>
      <c r="M546" s="2" t="s">
        <v>1709</v>
      </c>
      <c r="N546" s="2" t="s">
        <v>1710</v>
      </c>
    </row>
    <row r="547" ht="15.75" customHeight="1">
      <c r="A547" s="18">
        <v>45635.0</v>
      </c>
      <c r="B547" s="16" t="str">
        <f t="shared" si="1"/>
        <v>December</v>
      </c>
      <c r="C547" s="2" t="s">
        <v>34</v>
      </c>
      <c r="D547" s="2" t="str">
        <f t="shared" si="2"/>
        <v>Medellín</v>
      </c>
      <c r="E547" s="2" t="s">
        <v>92</v>
      </c>
      <c r="F547" s="2" t="str">
        <f>IFERROR(__xludf.DUMMYFUNCTION("SPLIT(E547, ""-"")"),"Tablet")</f>
        <v>Tablet</v>
      </c>
      <c r="G547" s="2" t="str">
        <f>IFERROR(__xludf.DUMMYFUNCTION("""COMPUTED_VALUE"""),"Mini")</f>
        <v>Mini</v>
      </c>
      <c r="H547" s="2" t="str">
        <f>IFERROR(__xludf.DUMMYFUNCTION("""COMPUTED_VALUE"""),"8GB")</f>
        <v>8GB</v>
      </c>
      <c r="I547" s="17">
        <v>1744.95</v>
      </c>
      <c r="J547" s="6">
        <v>2.0</v>
      </c>
      <c r="K547" s="17">
        <v>3489.9</v>
      </c>
      <c r="L547" s="2" t="s">
        <v>1711</v>
      </c>
      <c r="M547" s="2" t="s">
        <v>1712</v>
      </c>
      <c r="N547" s="2" t="s">
        <v>1713</v>
      </c>
    </row>
    <row r="548" ht="15.75" customHeight="1">
      <c r="A548" s="18">
        <v>45635.0</v>
      </c>
      <c r="B548" s="16" t="str">
        <f t="shared" si="1"/>
        <v>December</v>
      </c>
      <c r="C548" s="2" t="s">
        <v>57</v>
      </c>
      <c r="D548" s="2" t="str">
        <f t="shared" si="2"/>
        <v>Guadalajara</v>
      </c>
      <c r="E548" s="2" t="s">
        <v>62</v>
      </c>
      <c r="F548" s="2" t="str">
        <f>IFERROR(__xludf.DUMMYFUNCTION("SPLIT(E548, ""-"")"),"Laptop")</f>
        <v>Laptop</v>
      </c>
      <c r="G548" s="2" t="str">
        <f>IFERROR(__xludf.DUMMYFUNCTION("""COMPUTED_VALUE"""),"Ultraliviana")</f>
        <v>Ultraliviana</v>
      </c>
      <c r="H548" s="2" t="str">
        <f>IFERROR(__xludf.DUMMYFUNCTION("""COMPUTED_VALUE"""),"4GB")</f>
        <v>4GB</v>
      </c>
      <c r="I548" s="17">
        <v>1865.55</v>
      </c>
      <c r="J548" s="6">
        <v>2.0</v>
      </c>
      <c r="K548" s="17">
        <v>3731.1</v>
      </c>
      <c r="L548" s="2" t="s">
        <v>1714</v>
      </c>
      <c r="M548" s="2" t="s">
        <v>1715</v>
      </c>
      <c r="N548" s="2" t="s">
        <v>1716</v>
      </c>
    </row>
    <row r="549" ht="15.75" customHeight="1">
      <c r="A549" s="18">
        <v>45635.0</v>
      </c>
      <c r="B549" s="16" t="str">
        <f t="shared" si="1"/>
        <v>December</v>
      </c>
      <c r="C549" s="2" t="s">
        <v>57</v>
      </c>
      <c r="D549" s="2" t="str">
        <f t="shared" si="2"/>
        <v>Guadalajara</v>
      </c>
      <c r="E549" s="2" t="s">
        <v>22</v>
      </c>
      <c r="F549" s="2" t="str">
        <f>IFERROR(__xludf.DUMMYFUNCTION("SPLIT(E549, ""-"")"),"Tablet")</f>
        <v>Tablet</v>
      </c>
      <c r="G549" s="2" t="str">
        <f>IFERROR(__xludf.DUMMYFUNCTION("""COMPUTED_VALUE"""),"Estándar")</f>
        <v>Estándar</v>
      </c>
      <c r="H549" s="2" t="str">
        <f>IFERROR(__xludf.DUMMYFUNCTION("""COMPUTED_VALUE"""),"16GB")</f>
        <v>16GB</v>
      </c>
      <c r="I549" s="17">
        <v>787.78</v>
      </c>
      <c r="J549" s="6">
        <v>3.0</v>
      </c>
      <c r="K549" s="17">
        <v>2363.34</v>
      </c>
      <c r="L549" s="2" t="s">
        <v>1717</v>
      </c>
      <c r="M549" s="2" t="s">
        <v>1718</v>
      </c>
      <c r="N549" s="2" t="s">
        <v>1719</v>
      </c>
    </row>
    <row r="550" ht="15.75" customHeight="1">
      <c r="A550" s="18">
        <v>45636.0</v>
      </c>
      <c r="B550" s="16" t="str">
        <f t="shared" si="1"/>
        <v>December</v>
      </c>
      <c r="C550" s="3" t="s">
        <v>29</v>
      </c>
      <c r="D550" s="2" t="str">
        <f t="shared" si="2"/>
        <v>Ciudad De Mexico</v>
      </c>
      <c r="E550" s="2" t="s">
        <v>130</v>
      </c>
      <c r="F550" s="2" t="str">
        <f>IFERROR(__xludf.DUMMYFUNCTION("SPLIT(E550, ""-"")"),"Tablet")</f>
        <v>Tablet</v>
      </c>
      <c r="G550" s="2" t="str">
        <f>IFERROR(__xludf.DUMMYFUNCTION("""COMPUTED_VALUE"""),"Pro")</f>
        <v>Pro</v>
      </c>
      <c r="H550" s="2" t="str">
        <f>IFERROR(__xludf.DUMMYFUNCTION("""COMPUTED_VALUE"""),"8GB")</f>
        <v>8GB</v>
      </c>
      <c r="I550" s="17">
        <v>1001.63</v>
      </c>
      <c r="J550" s="6">
        <v>3.0</v>
      </c>
      <c r="K550" s="17">
        <v>3004.89</v>
      </c>
      <c r="L550" s="2" t="s">
        <v>1720</v>
      </c>
      <c r="M550" s="2" t="s">
        <v>1721</v>
      </c>
      <c r="N550" s="2" t="s">
        <v>1722</v>
      </c>
    </row>
    <row r="551" ht="15.75" customHeight="1">
      <c r="A551" s="18">
        <v>45636.0</v>
      </c>
      <c r="B551" s="16" t="str">
        <f t="shared" si="1"/>
        <v>December</v>
      </c>
      <c r="C551" s="2" t="s">
        <v>9</v>
      </c>
      <c r="D551" s="2" t="str">
        <f t="shared" si="2"/>
        <v>Monterrey</v>
      </c>
      <c r="E551" s="2" t="s">
        <v>161</v>
      </c>
      <c r="F551" s="2" t="str">
        <f>IFERROR(__xludf.DUMMYFUNCTION("SPLIT(E551, ""-"")"),"Laptop")</f>
        <v>Laptop</v>
      </c>
      <c r="G551" s="2" t="str">
        <f>IFERROR(__xludf.DUMMYFUNCTION("""COMPUTED_VALUE"""),"Oficina")</f>
        <v>Oficina</v>
      </c>
      <c r="H551" s="2" t="str">
        <f>IFERROR(__xludf.DUMMYFUNCTION("""COMPUTED_VALUE"""),"32GB")</f>
        <v>32GB</v>
      </c>
      <c r="I551" s="17">
        <v>1708.81</v>
      </c>
      <c r="J551" s="6">
        <v>1.0</v>
      </c>
      <c r="K551" s="17">
        <v>1708.81</v>
      </c>
      <c r="L551" s="2" t="s">
        <v>1723</v>
      </c>
      <c r="M551" s="2" t="s">
        <v>1724</v>
      </c>
      <c r="N551" s="2" t="s">
        <v>1725</v>
      </c>
    </row>
    <row r="552" ht="15.75" customHeight="1">
      <c r="A552" s="18">
        <v>45636.0</v>
      </c>
      <c r="B552" s="16" t="str">
        <f t="shared" si="1"/>
        <v>December</v>
      </c>
      <c r="C552" s="2" t="s">
        <v>14</v>
      </c>
      <c r="D552" s="2" t="str">
        <f t="shared" si="2"/>
        <v>Bogotá</v>
      </c>
      <c r="E552" s="2" t="s">
        <v>279</v>
      </c>
      <c r="F552" s="2" t="str">
        <f>IFERROR(__xludf.DUMMYFUNCTION("SPLIT(E552, ""-"")"),"Tablet")</f>
        <v>Tablet</v>
      </c>
      <c r="G552" s="2" t="str">
        <f>IFERROR(__xludf.DUMMYFUNCTION("""COMPUTED_VALUE"""),"Pro")</f>
        <v>Pro</v>
      </c>
      <c r="H552" s="2" t="str">
        <f>IFERROR(__xludf.DUMMYFUNCTION("""COMPUTED_VALUE"""),"16GB")</f>
        <v>16GB</v>
      </c>
      <c r="I552" s="17">
        <v>1402.2</v>
      </c>
      <c r="J552" s="6">
        <v>5.0</v>
      </c>
      <c r="K552" s="17">
        <v>7011.0</v>
      </c>
      <c r="L552" s="2" t="s">
        <v>1726</v>
      </c>
      <c r="M552" s="2" t="s">
        <v>1727</v>
      </c>
      <c r="N552" s="2" t="s">
        <v>1728</v>
      </c>
    </row>
    <row r="553" ht="15.75" customHeight="1">
      <c r="A553" s="18">
        <v>45636.0</v>
      </c>
      <c r="B553" s="16" t="str">
        <f t="shared" si="1"/>
        <v>December</v>
      </c>
      <c r="C553" s="2" t="s">
        <v>34</v>
      </c>
      <c r="D553" s="2" t="str">
        <f t="shared" si="2"/>
        <v>Medellín</v>
      </c>
      <c r="E553" s="2" t="s">
        <v>53</v>
      </c>
      <c r="F553" s="2" t="str">
        <f>IFERROR(__xludf.DUMMYFUNCTION("SPLIT(E553, ""-"")"),"Laptop")</f>
        <v>Laptop</v>
      </c>
      <c r="G553" s="2" t="str">
        <f>IFERROR(__xludf.DUMMYFUNCTION("""COMPUTED_VALUE"""),"Oficina")</f>
        <v>Oficina</v>
      </c>
      <c r="H553" s="2" t="str">
        <f>IFERROR(__xludf.DUMMYFUNCTION("""COMPUTED_VALUE"""),"8GB")</f>
        <v>8GB</v>
      </c>
      <c r="I553" s="17">
        <v>85.19</v>
      </c>
      <c r="J553" s="6">
        <v>1.0</v>
      </c>
      <c r="K553" s="17">
        <v>85.19</v>
      </c>
      <c r="L553" s="2" t="s">
        <v>1729</v>
      </c>
      <c r="M553" s="2" t="s">
        <v>1730</v>
      </c>
      <c r="N553" s="2" t="s">
        <v>1731</v>
      </c>
    </row>
    <row r="554" ht="15.75" customHeight="1">
      <c r="A554" s="18">
        <v>45636.0</v>
      </c>
      <c r="B554" s="16" t="str">
        <f t="shared" si="1"/>
        <v>December</v>
      </c>
      <c r="C554" s="2" t="s">
        <v>9</v>
      </c>
      <c r="D554" s="2" t="str">
        <f t="shared" si="2"/>
        <v>Monterrey</v>
      </c>
      <c r="E554" s="2" t="s">
        <v>396</v>
      </c>
      <c r="F554" s="2" t="str">
        <f>IFERROR(__xludf.DUMMYFUNCTION("SPLIT(E554, ""-"")"),"Laptop")</f>
        <v>Laptop</v>
      </c>
      <c r="G554" s="2" t="str">
        <f>IFERROR(__xludf.DUMMYFUNCTION("""COMPUTED_VALUE"""),"Gaming")</f>
        <v>Gaming</v>
      </c>
      <c r="H554" s="2" t="str">
        <f>IFERROR(__xludf.DUMMYFUNCTION("""COMPUTED_VALUE"""),"4GB")</f>
        <v>4GB</v>
      </c>
      <c r="I554" s="17">
        <v>240.45</v>
      </c>
      <c r="J554" s="6">
        <v>4.0</v>
      </c>
      <c r="K554" s="17">
        <v>961.8</v>
      </c>
      <c r="L554" s="2" t="s">
        <v>1732</v>
      </c>
      <c r="M554" s="2" t="s">
        <v>1733</v>
      </c>
      <c r="N554" s="2" t="s">
        <v>1734</v>
      </c>
    </row>
    <row r="555" ht="15.75" customHeight="1">
      <c r="A555" s="18">
        <v>45636.0</v>
      </c>
      <c r="B555" s="16" t="str">
        <f t="shared" si="1"/>
        <v>December</v>
      </c>
      <c r="C555" s="2" t="s">
        <v>74</v>
      </c>
      <c r="D555" s="2" t="str">
        <f t="shared" si="2"/>
        <v>Cali</v>
      </c>
      <c r="E555" s="2" t="s">
        <v>312</v>
      </c>
      <c r="F555" s="2" t="str">
        <f>IFERROR(__xludf.DUMMYFUNCTION("SPLIT(E555, ""-"")"),"Teléfono")</f>
        <v>Teléfono</v>
      </c>
      <c r="G555" s="2" t="str">
        <f>IFERROR(__xludf.DUMMYFUNCTION("""COMPUTED_VALUE"""),"Gama baja")</f>
        <v>Gama baja</v>
      </c>
      <c r="H555" s="2" t="str">
        <f>IFERROR(__xludf.DUMMYFUNCTION("""COMPUTED_VALUE"""),"8GB")</f>
        <v>8GB</v>
      </c>
      <c r="I555" s="17">
        <v>1284.54</v>
      </c>
      <c r="J555" s="6">
        <v>3.0</v>
      </c>
      <c r="K555" s="17">
        <v>3853.62</v>
      </c>
      <c r="L555" s="2" t="s">
        <v>1735</v>
      </c>
      <c r="M555" s="2" t="s">
        <v>1736</v>
      </c>
      <c r="N555" s="2" t="s">
        <v>1737</v>
      </c>
    </row>
    <row r="556" ht="15.75" customHeight="1">
      <c r="A556" s="18">
        <v>45636.0</v>
      </c>
      <c r="B556" s="16" t="str">
        <f t="shared" si="1"/>
        <v>December</v>
      </c>
      <c r="C556" s="2" t="s">
        <v>74</v>
      </c>
      <c r="D556" s="2" t="str">
        <f t="shared" si="2"/>
        <v>Cali</v>
      </c>
      <c r="E556" s="2" t="s">
        <v>289</v>
      </c>
      <c r="F556" s="2" t="str">
        <f>IFERROR(__xludf.DUMMYFUNCTION("SPLIT(E556, ""-"")"),"Teléfono")</f>
        <v>Teléfono</v>
      </c>
      <c r="G556" s="2" t="str">
        <f>IFERROR(__xludf.DUMMYFUNCTION("""COMPUTED_VALUE"""),"Gama alta")</f>
        <v>Gama alta</v>
      </c>
      <c r="H556" s="2" t="str">
        <f>IFERROR(__xludf.DUMMYFUNCTION("""COMPUTED_VALUE"""),"16GB")</f>
        <v>16GB</v>
      </c>
      <c r="I556" s="17">
        <v>974.06</v>
      </c>
      <c r="J556" s="6">
        <v>5.0</v>
      </c>
      <c r="K556" s="17">
        <v>4870.3</v>
      </c>
      <c r="L556" s="2" t="s">
        <v>1738</v>
      </c>
      <c r="M556" s="2" t="s">
        <v>1739</v>
      </c>
      <c r="N556" s="2" t="s">
        <v>1740</v>
      </c>
    </row>
    <row r="557" ht="15.75" customHeight="1">
      <c r="A557" s="18">
        <v>45636.0</v>
      </c>
      <c r="B557" s="16" t="str">
        <f t="shared" si="1"/>
        <v>December</v>
      </c>
      <c r="C557" s="2" t="s">
        <v>57</v>
      </c>
      <c r="D557" s="2" t="str">
        <f t="shared" si="2"/>
        <v>Guadalajara</v>
      </c>
      <c r="E557" s="2" t="s">
        <v>256</v>
      </c>
      <c r="F557" s="2" t="str">
        <f>IFERROR(__xludf.DUMMYFUNCTION("SPLIT(E557, ""-"")"),"Auriculares")</f>
        <v>Auriculares</v>
      </c>
      <c r="G557" s="2" t="str">
        <f>IFERROR(__xludf.DUMMYFUNCTION("""COMPUTED_VALUE"""),"Cancelación de ruido")</f>
        <v>Cancelación de ruido</v>
      </c>
      <c r="H557" s="2" t="str">
        <f>IFERROR(__xludf.DUMMYFUNCTION("""COMPUTED_VALUE"""),"8GB")</f>
        <v>8GB</v>
      </c>
      <c r="I557" s="17">
        <v>1808.15</v>
      </c>
      <c r="J557" s="6">
        <v>2.0</v>
      </c>
      <c r="K557" s="17">
        <v>3616.3</v>
      </c>
      <c r="L557" s="2" t="s">
        <v>1741</v>
      </c>
      <c r="M557" s="2" t="s">
        <v>1742</v>
      </c>
      <c r="N557" s="2" t="s">
        <v>1743</v>
      </c>
    </row>
    <row r="558" ht="15.75" customHeight="1">
      <c r="A558" s="18">
        <v>45636.0</v>
      </c>
      <c r="B558" s="16" t="str">
        <f t="shared" si="1"/>
        <v>December</v>
      </c>
      <c r="C558" s="2" t="s">
        <v>57</v>
      </c>
      <c r="D558" s="2" t="str">
        <f t="shared" si="2"/>
        <v>Guadalajara</v>
      </c>
      <c r="E558" s="2" t="s">
        <v>187</v>
      </c>
      <c r="F558" s="2" t="str">
        <f>IFERROR(__xludf.DUMMYFUNCTION("SPLIT(E558, ""-"")"),"Laptop")</f>
        <v>Laptop</v>
      </c>
      <c r="G558" s="2" t="str">
        <f>IFERROR(__xludf.DUMMYFUNCTION("""COMPUTED_VALUE"""),"Ultraliviana")</f>
        <v>Ultraliviana</v>
      </c>
      <c r="H558" s="2" t="str">
        <f>IFERROR(__xludf.DUMMYFUNCTION("""COMPUTED_VALUE"""),"16GB")</f>
        <v>16GB</v>
      </c>
      <c r="I558" s="17">
        <v>1969.69</v>
      </c>
      <c r="J558" s="6">
        <v>4.0</v>
      </c>
      <c r="K558" s="17">
        <v>7878.76</v>
      </c>
      <c r="L558" s="2" t="s">
        <v>1744</v>
      </c>
      <c r="M558" s="2" t="s">
        <v>1745</v>
      </c>
      <c r="N558" s="8" t="s">
        <v>1746</v>
      </c>
    </row>
    <row r="559" ht="15.75" customHeight="1">
      <c r="A559" s="18">
        <v>45636.0</v>
      </c>
      <c r="B559" s="16" t="str">
        <f t="shared" si="1"/>
        <v>December</v>
      </c>
      <c r="C559" s="2" t="s">
        <v>34</v>
      </c>
      <c r="D559" s="2" t="str">
        <f t="shared" si="2"/>
        <v>Medellín</v>
      </c>
      <c r="E559" s="2" t="s">
        <v>230</v>
      </c>
      <c r="F559" s="2" t="str">
        <f>IFERROR(__xludf.DUMMYFUNCTION("SPLIT(E559, ""-"")"),"Tablet")</f>
        <v>Tablet</v>
      </c>
      <c r="G559" s="2" t="str">
        <f>IFERROR(__xludf.DUMMYFUNCTION("""COMPUTED_VALUE"""),"Mini")</f>
        <v>Mini</v>
      </c>
      <c r="H559" s="2" t="str">
        <f>IFERROR(__xludf.DUMMYFUNCTION("""COMPUTED_VALUE"""),"16GB")</f>
        <v>16GB</v>
      </c>
      <c r="I559" s="17">
        <v>2351.13</v>
      </c>
      <c r="J559" s="6">
        <v>1.0</v>
      </c>
      <c r="K559" s="17">
        <v>2351.13</v>
      </c>
      <c r="L559" s="2" t="s">
        <v>1747</v>
      </c>
      <c r="M559" s="2" t="s">
        <v>1748</v>
      </c>
      <c r="N559" s="2" t="s">
        <v>1749</v>
      </c>
    </row>
    <row r="560" ht="15.75" customHeight="1">
      <c r="A560" s="18">
        <v>45636.0</v>
      </c>
      <c r="B560" s="16" t="str">
        <f t="shared" si="1"/>
        <v>December</v>
      </c>
      <c r="C560" s="3" t="s">
        <v>29</v>
      </c>
      <c r="D560" s="2" t="str">
        <f t="shared" si="2"/>
        <v>Ciudad De Mexico</v>
      </c>
      <c r="E560" s="2" t="s">
        <v>169</v>
      </c>
      <c r="F560" s="2" t="str">
        <f>IFERROR(__xludf.DUMMYFUNCTION("SPLIT(E560, ""-"")"),"Teléfono")</f>
        <v>Teléfono</v>
      </c>
      <c r="G560" s="2" t="str">
        <f>IFERROR(__xludf.DUMMYFUNCTION("""COMPUTED_VALUE"""),"Gama baja")</f>
        <v>Gama baja</v>
      </c>
      <c r="H560" s="2" t="str">
        <f>IFERROR(__xludf.DUMMYFUNCTION("""COMPUTED_VALUE"""),"4GB")</f>
        <v>4GB</v>
      </c>
      <c r="I560" s="17">
        <v>173.92</v>
      </c>
      <c r="J560" s="6">
        <v>3.0</v>
      </c>
      <c r="K560" s="17">
        <v>521.76</v>
      </c>
      <c r="L560" s="2" t="s">
        <v>1750</v>
      </c>
      <c r="M560" s="2" t="s">
        <v>1751</v>
      </c>
      <c r="N560" s="2" t="s">
        <v>1752</v>
      </c>
    </row>
    <row r="561" ht="15.75" customHeight="1">
      <c r="A561" s="18">
        <v>45637.0</v>
      </c>
      <c r="B561" s="16" t="str">
        <f t="shared" si="1"/>
        <v>December</v>
      </c>
      <c r="C561" s="2" t="s">
        <v>14</v>
      </c>
      <c r="D561" s="2" t="str">
        <f t="shared" si="2"/>
        <v>Bogotá</v>
      </c>
      <c r="E561" s="2" t="s">
        <v>35</v>
      </c>
      <c r="F561" s="2" t="str">
        <f>IFERROR(__xludf.DUMMYFUNCTION("SPLIT(E561, ""-"")"),"Tablet")</f>
        <v>Tablet</v>
      </c>
      <c r="G561" s="2" t="str">
        <f>IFERROR(__xludf.DUMMYFUNCTION("""COMPUTED_VALUE"""),"Pro")</f>
        <v>Pro</v>
      </c>
      <c r="H561" s="2" t="str">
        <f>IFERROR(__xludf.DUMMYFUNCTION("""COMPUTED_VALUE"""),"4GB")</f>
        <v>4GB</v>
      </c>
      <c r="I561" s="17">
        <v>817.03</v>
      </c>
      <c r="J561" s="6">
        <v>2.0</v>
      </c>
      <c r="K561" s="17">
        <v>1634.06</v>
      </c>
      <c r="L561" s="2" t="s">
        <v>1753</v>
      </c>
      <c r="M561" s="2" t="s">
        <v>1754</v>
      </c>
      <c r="N561" s="2" t="s">
        <v>1755</v>
      </c>
    </row>
    <row r="562" ht="15.75" customHeight="1">
      <c r="A562" s="18">
        <v>45637.0</v>
      </c>
      <c r="B562" s="16" t="str">
        <f t="shared" si="1"/>
        <v>December</v>
      </c>
      <c r="C562" s="2" t="s">
        <v>34</v>
      </c>
      <c r="D562" s="2" t="str">
        <f t="shared" si="2"/>
        <v>Medellín</v>
      </c>
      <c r="E562" s="2" t="s">
        <v>75</v>
      </c>
      <c r="F562" s="2" t="str">
        <f>IFERROR(__xludf.DUMMYFUNCTION("SPLIT(E562, ""-"")"),"Tablet")</f>
        <v>Tablet</v>
      </c>
      <c r="G562" s="2" t="str">
        <f>IFERROR(__xludf.DUMMYFUNCTION("""COMPUTED_VALUE"""),"Mini")</f>
        <v>Mini</v>
      </c>
      <c r="H562" s="2" t="str">
        <f>IFERROR(__xludf.DUMMYFUNCTION("""COMPUTED_VALUE"""),"32GB")</f>
        <v>32GB</v>
      </c>
      <c r="I562" s="17">
        <v>1332.48</v>
      </c>
      <c r="J562" s="6">
        <v>5.0</v>
      </c>
      <c r="K562" s="17">
        <v>6662.4</v>
      </c>
      <c r="L562" s="2" t="s">
        <v>1756</v>
      </c>
      <c r="M562" s="2" t="s">
        <v>1757</v>
      </c>
      <c r="N562" s="2" t="s">
        <v>1758</v>
      </c>
    </row>
    <row r="563" ht="15.75" customHeight="1">
      <c r="A563" s="18">
        <v>45637.0</v>
      </c>
      <c r="B563" s="16" t="str">
        <f t="shared" si="1"/>
        <v>December</v>
      </c>
      <c r="C563" s="2" t="s">
        <v>14</v>
      </c>
      <c r="D563" s="2" t="str">
        <f t="shared" si="2"/>
        <v>Bogotá</v>
      </c>
      <c r="E563" s="2" t="s">
        <v>279</v>
      </c>
      <c r="F563" s="2" t="str">
        <f>IFERROR(__xludf.DUMMYFUNCTION("SPLIT(E563, ""-"")"),"Tablet")</f>
        <v>Tablet</v>
      </c>
      <c r="G563" s="2" t="str">
        <f>IFERROR(__xludf.DUMMYFUNCTION("""COMPUTED_VALUE"""),"Pro")</f>
        <v>Pro</v>
      </c>
      <c r="H563" s="2" t="str">
        <f>IFERROR(__xludf.DUMMYFUNCTION("""COMPUTED_VALUE"""),"16GB")</f>
        <v>16GB</v>
      </c>
      <c r="I563" s="17">
        <v>273.29</v>
      </c>
      <c r="J563" s="6">
        <v>5.0</v>
      </c>
      <c r="K563" s="17">
        <v>1366.45</v>
      </c>
      <c r="L563" s="2" t="s">
        <v>1759</v>
      </c>
      <c r="M563" s="2" t="s">
        <v>1760</v>
      </c>
      <c r="N563" s="2" t="s">
        <v>1761</v>
      </c>
    </row>
    <row r="564" ht="15.75" customHeight="1">
      <c r="A564" s="18">
        <v>45637.0</v>
      </c>
      <c r="B564" s="16" t="str">
        <f t="shared" si="1"/>
        <v>December</v>
      </c>
      <c r="C564" s="2" t="s">
        <v>9</v>
      </c>
      <c r="D564" s="2" t="str">
        <f t="shared" si="2"/>
        <v>Monterrey</v>
      </c>
      <c r="E564" s="2" t="s">
        <v>75</v>
      </c>
      <c r="F564" s="2" t="str">
        <f>IFERROR(__xludf.DUMMYFUNCTION("SPLIT(E564, ""-"")"),"Tablet")</f>
        <v>Tablet</v>
      </c>
      <c r="G564" s="2" t="str">
        <f>IFERROR(__xludf.DUMMYFUNCTION("""COMPUTED_VALUE"""),"Mini")</f>
        <v>Mini</v>
      </c>
      <c r="H564" s="2" t="str">
        <f>IFERROR(__xludf.DUMMYFUNCTION("""COMPUTED_VALUE"""),"32GB")</f>
        <v>32GB</v>
      </c>
      <c r="I564" s="17">
        <v>782.8</v>
      </c>
      <c r="J564" s="6">
        <v>2.0</v>
      </c>
      <c r="K564" s="17">
        <v>1565.6</v>
      </c>
      <c r="L564" s="2" t="s">
        <v>1762</v>
      </c>
      <c r="M564" s="2" t="s">
        <v>1763</v>
      </c>
      <c r="N564" s="2" t="s">
        <v>1764</v>
      </c>
    </row>
    <row r="565" ht="15.75" customHeight="1">
      <c r="A565" s="18">
        <v>45637.0</v>
      </c>
      <c r="B565" s="16" t="str">
        <f t="shared" si="1"/>
        <v>December</v>
      </c>
      <c r="C565" s="2" t="s">
        <v>57</v>
      </c>
      <c r="D565" s="2" t="str">
        <f t="shared" si="2"/>
        <v>Guadalajara</v>
      </c>
      <c r="E565" s="2" t="s">
        <v>366</v>
      </c>
      <c r="F565" s="2" t="str">
        <f>IFERROR(__xludf.DUMMYFUNCTION("SPLIT(E565, ""-"")"),"Auriculares")</f>
        <v>Auriculares</v>
      </c>
      <c r="G565" s="2" t="str">
        <f>IFERROR(__xludf.DUMMYFUNCTION("""COMPUTED_VALUE"""),"Con cable")</f>
        <v>Con cable</v>
      </c>
      <c r="H565" s="2" t="str">
        <f>IFERROR(__xludf.DUMMYFUNCTION("""COMPUTED_VALUE"""),"4GB")</f>
        <v>4GB</v>
      </c>
      <c r="I565" s="17">
        <v>1198.31</v>
      </c>
      <c r="J565" s="6">
        <v>3.0</v>
      </c>
      <c r="K565" s="17">
        <v>3594.93</v>
      </c>
      <c r="L565" s="2" t="s">
        <v>1765</v>
      </c>
      <c r="M565" s="2" t="s">
        <v>1766</v>
      </c>
      <c r="N565" s="2" t="s">
        <v>1767</v>
      </c>
    </row>
    <row r="566" ht="15.75" customHeight="1">
      <c r="A566" s="18">
        <v>45637.0</v>
      </c>
      <c r="B566" s="16" t="str">
        <f t="shared" si="1"/>
        <v>December</v>
      </c>
      <c r="C566" s="2" t="s">
        <v>34</v>
      </c>
      <c r="D566" s="2" t="str">
        <f t="shared" si="2"/>
        <v>Medellín</v>
      </c>
      <c r="E566" s="2" t="s">
        <v>88</v>
      </c>
      <c r="F566" s="2" t="str">
        <f>IFERROR(__xludf.DUMMYFUNCTION("SPLIT(E566, ""-"")"),"Laptop")</f>
        <v>Laptop</v>
      </c>
      <c r="G566" s="2" t="str">
        <f>IFERROR(__xludf.DUMMYFUNCTION("""COMPUTED_VALUE"""),"Gaming")</f>
        <v>Gaming</v>
      </c>
      <c r="H566" s="2" t="str">
        <f>IFERROR(__xludf.DUMMYFUNCTION("""COMPUTED_VALUE"""),"32GB")</f>
        <v>32GB</v>
      </c>
      <c r="I566" s="17">
        <v>569.56</v>
      </c>
      <c r="J566" s="6">
        <v>4.0</v>
      </c>
      <c r="K566" s="17">
        <v>2278.24</v>
      </c>
      <c r="L566" s="2" t="s">
        <v>1768</v>
      </c>
      <c r="M566" s="2" t="s">
        <v>1769</v>
      </c>
      <c r="N566" s="2" t="s">
        <v>1770</v>
      </c>
    </row>
    <row r="567" ht="15.75" customHeight="1">
      <c r="A567" s="18">
        <v>45637.0</v>
      </c>
      <c r="B567" s="16" t="str">
        <f t="shared" si="1"/>
        <v>December</v>
      </c>
      <c r="C567" s="2" t="s">
        <v>14</v>
      </c>
      <c r="D567" s="2" t="str">
        <f t="shared" si="2"/>
        <v>Bogotá</v>
      </c>
      <c r="E567" s="2" t="s">
        <v>22</v>
      </c>
      <c r="F567" s="2" t="str">
        <f>IFERROR(__xludf.DUMMYFUNCTION("SPLIT(E567, ""-"")"),"Tablet")</f>
        <v>Tablet</v>
      </c>
      <c r="G567" s="2" t="str">
        <f>IFERROR(__xludf.DUMMYFUNCTION("""COMPUTED_VALUE"""),"Estándar")</f>
        <v>Estándar</v>
      </c>
      <c r="H567" s="2" t="str">
        <f>IFERROR(__xludf.DUMMYFUNCTION("""COMPUTED_VALUE"""),"16GB")</f>
        <v>16GB</v>
      </c>
      <c r="I567" s="17">
        <v>1672.13</v>
      </c>
      <c r="J567" s="6">
        <v>4.0</v>
      </c>
      <c r="K567" s="17">
        <v>6688.52</v>
      </c>
      <c r="L567" s="2" t="s">
        <v>1771</v>
      </c>
      <c r="M567" s="2" t="s">
        <v>1772</v>
      </c>
      <c r="N567" s="2" t="s">
        <v>1773</v>
      </c>
    </row>
    <row r="568" ht="15.75" customHeight="1">
      <c r="A568" s="18">
        <v>45637.0</v>
      </c>
      <c r="B568" s="16" t="str">
        <f t="shared" si="1"/>
        <v>December</v>
      </c>
      <c r="C568" s="3" t="s">
        <v>29</v>
      </c>
      <c r="D568" s="2" t="str">
        <f t="shared" si="2"/>
        <v>Ciudad De Mexico</v>
      </c>
      <c r="E568" s="2" t="s">
        <v>169</v>
      </c>
      <c r="F568" s="2" t="str">
        <f>IFERROR(__xludf.DUMMYFUNCTION("SPLIT(E568, ""-"")"),"Teléfono")</f>
        <v>Teléfono</v>
      </c>
      <c r="G568" s="2" t="str">
        <f>IFERROR(__xludf.DUMMYFUNCTION("""COMPUTED_VALUE"""),"Gama baja")</f>
        <v>Gama baja</v>
      </c>
      <c r="H568" s="2" t="str">
        <f>IFERROR(__xludf.DUMMYFUNCTION("""COMPUTED_VALUE"""),"4GB")</f>
        <v>4GB</v>
      </c>
      <c r="I568" s="17">
        <v>1603.02</v>
      </c>
      <c r="J568" s="6">
        <v>4.0</v>
      </c>
      <c r="K568" s="17">
        <v>6412.08</v>
      </c>
      <c r="L568" s="2" t="s">
        <v>1774</v>
      </c>
      <c r="M568" s="2" t="s">
        <v>1775</v>
      </c>
      <c r="N568" s="2" t="s">
        <v>1776</v>
      </c>
    </row>
    <row r="569" ht="15.75" customHeight="1">
      <c r="A569" s="18">
        <v>45637.0</v>
      </c>
      <c r="B569" s="16" t="str">
        <f t="shared" si="1"/>
        <v>December</v>
      </c>
      <c r="C569" s="2" t="s">
        <v>74</v>
      </c>
      <c r="D569" s="2" t="str">
        <f t="shared" si="2"/>
        <v>Cali</v>
      </c>
      <c r="E569" s="2" t="s">
        <v>230</v>
      </c>
      <c r="F569" s="2" t="str">
        <f>IFERROR(__xludf.DUMMYFUNCTION("SPLIT(E569, ""-"")"),"Tablet")</f>
        <v>Tablet</v>
      </c>
      <c r="G569" s="2" t="str">
        <f>IFERROR(__xludf.DUMMYFUNCTION("""COMPUTED_VALUE"""),"Mini")</f>
        <v>Mini</v>
      </c>
      <c r="H569" s="2" t="str">
        <f>IFERROR(__xludf.DUMMYFUNCTION("""COMPUTED_VALUE"""),"16GB")</f>
        <v>16GB</v>
      </c>
      <c r="I569" s="17">
        <v>1076.71</v>
      </c>
      <c r="J569" s="6">
        <v>3.0</v>
      </c>
      <c r="K569" s="17">
        <v>3230.13</v>
      </c>
      <c r="L569" s="2" t="s">
        <v>1777</v>
      </c>
      <c r="M569" s="2" t="s">
        <v>1778</v>
      </c>
      <c r="N569" s="2" t="s">
        <v>1779</v>
      </c>
    </row>
    <row r="570" ht="15.75" customHeight="1">
      <c r="A570" s="18">
        <v>45637.0</v>
      </c>
      <c r="B570" s="16" t="str">
        <f t="shared" si="1"/>
        <v>December</v>
      </c>
      <c r="C570" s="2" t="s">
        <v>57</v>
      </c>
      <c r="D570" s="2" t="str">
        <f t="shared" si="2"/>
        <v>Guadalajara</v>
      </c>
      <c r="E570" s="2" t="s">
        <v>130</v>
      </c>
      <c r="F570" s="2" t="str">
        <f>IFERROR(__xludf.DUMMYFUNCTION("SPLIT(E570, ""-"")"),"Tablet")</f>
        <v>Tablet</v>
      </c>
      <c r="G570" s="2" t="str">
        <f>IFERROR(__xludf.DUMMYFUNCTION("""COMPUTED_VALUE"""),"Pro")</f>
        <v>Pro</v>
      </c>
      <c r="H570" s="2" t="str">
        <f>IFERROR(__xludf.DUMMYFUNCTION("""COMPUTED_VALUE"""),"8GB")</f>
        <v>8GB</v>
      </c>
      <c r="I570" s="17">
        <v>1203.25</v>
      </c>
      <c r="J570" s="6">
        <v>4.0</v>
      </c>
      <c r="K570" s="17">
        <v>4813.0</v>
      </c>
      <c r="L570" s="2" t="s">
        <v>1780</v>
      </c>
      <c r="M570" s="2" t="s">
        <v>1781</v>
      </c>
      <c r="N570" s="2" t="s">
        <v>1782</v>
      </c>
    </row>
    <row r="571" ht="15.75" customHeight="1">
      <c r="A571" s="18">
        <v>45638.0</v>
      </c>
      <c r="B571" s="16" t="str">
        <f t="shared" si="1"/>
        <v>December</v>
      </c>
      <c r="C571" s="3" t="s">
        <v>29</v>
      </c>
      <c r="D571" s="2" t="str">
        <f t="shared" si="2"/>
        <v>Ciudad De Mexico</v>
      </c>
      <c r="E571" s="2" t="s">
        <v>161</v>
      </c>
      <c r="F571" s="2" t="str">
        <f>IFERROR(__xludf.DUMMYFUNCTION("SPLIT(E571, ""-"")"),"Laptop")</f>
        <v>Laptop</v>
      </c>
      <c r="G571" s="2" t="str">
        <f>IFERROR(__xludf.DUMMYFUNCTION("""COMPUTED_VALUE"""),"Oficina")</f>
        <v>Oficina</v>
      </c>
      <c r="H571" s="2" t="str">
        <f>IFERROR(__xludf.DUMMYFUNCTION("""COMPUTED_VALUE"""),"32GB")</f>
        <v>32GB</v>
      </c>
      <c r="I571" s="17">
        <v>1247.13</v>
      </c>
      <c r="J571" s="6">
        <v>5.0</v>
      </c>
      <c r="K571" s="17">
        <v>6235.65</v>
      </c>
      <c r="L571" s="2" t="s">
        <v>1783</v>
      </c>
      <c r="M571" s="2" t="s">
        <v>1784</v>
      </c>
      <c r="N571" s="2" t="s">
        <v>1785</v>
      </c>
    </row>
    <row r="572" ht="15.75" customHeight="1">
      <c r="A572" s="18">
        <v>45638.0</v>
      </c>
      <c r="B572" s="16" t="str">
        <f t="shared" si="1"/>
        <v>December</v>
      </c>
      <c r="C572" s="2" t="s">
        <v>9</v>
      </c>
      <c r="D572" s="2" t="str">
        <f t="shared" si="2"/>
        <v>Monterrey</v>
      </c>
      <c r="E572" s="2" t="s">
        <v>316</v>
      </c>
      <c r="F572" s="2" t="str">
        <f>IFERROR(__xludf.DUMMYFUNCTION("SPLIT(E572, ""-"")"),"Tablet")</f>
        <v>Tablet</v>
      </c>
      <c r="G572" s="2" t="str">
        <f>IFERROR(__xludf.DUMMYFUNCTION("""COMPUTED_VALUE"""),"Pro")</f>
        <v>Pro</v>
      </c>
      <c r="H572" s="2" t="str">
        <f>IFERROR(__xludf.DUMMYFUNCTION("""COMPUTED_VALUE"""),"32GB")</f>
        <v>32GB</v>
      </c>
      <c r="I572" s="17">
        <v>153.47</v>
      </c>
      <c r="J572" s="6">
        <v>3.0</v>
      </c>
      <c r="K572" s="17">
        <v>460.41</v>
      </c>
      <c r="L572" s="2" t="s">
        <v>1786</v>
      </c>
      <c r="M572" s="2" t="s">
        <v>1787</v>
      </c>
      <c r="N572" s="2" t="s">
        <v>1788</v>
      </c>
    </row>
    <row r="573" ht="15.75" customHeight="1">
      <c r="A573" s="18">
        <v>45638.0</v>
      </c>
      <c r="B573" s="16" t="str">
        <f t="shared" si="1"/>
        <v>December</v>
      </c>
      <c r="C573" s="3" t="s">
        <v>29</v>
      </c>
      <c r="D573" s="2" t="str">
        <f t="shared" si="2"/>
        <v>Ciudad De Mexico</v>
      </c>
      <c r="E573" s="2" t="s">
        <v>312</v>
      </c>
      <c r="F573" s="2" t="str">
        <f>IFERROR(__xludf.DUMMYFUNCTION("SPLIT(E573, ""-"")"),"Teléfono")</f>
        <v>Teléfono</v>
      </c>
      <c r="G573" s="2" t="str">
        <f>IFERROR(__xludf.DUMMYFUNCTION("""COMPUTED_VALUE"""),"Gama baja")</f>
        <v>Gama baja</v>
      </c>
      <c r="H573" s="2" t="str">
        <f>IFERROR(__xludf.DUMMYFUNCTION("""COMPUTED_VALUE"""),"8GB")</f>
        <v>8GB</v>
      </c>
      <c r="I573" s="17">
        <v>834.63</v>
      </c>
      <c r="J573" s="6">
        <v>4.0</v>
      </c>
      <c r="K573" s="17">
        <v>3338.52</v>
      </c>
      <c r="L573" s="2" t="s">
        <v>1789</v>
      </c>
      <c r="M573" s="2" t="s">
        <v>1790</v>
      </c>
      <c r="N573" s="2" t="s">
        <v>1791</v>
      </c>
    </row>
    <row r="574" ht="15.75" customHeight="1">
      <c r="A574" s="18">
        <v>45638.0</v>
      </c>
      <c r="B574" s="16" t="str">
        <f t="shared" si="1"/>
        <v>December</v>
      </c>
      <c r="C574" s="2" t="s">
        <v>57</v>
      </c>
      <c r="D574" s="2" t="str">
        <f t="shared" si="2"/>
        <v>Guadalajara</v>
      </c>
      <c r="E574" s="2" t="s">
        <v>58</v>
      </c>
      <c r="F574" s="2" t="str">
        <f>IFERROR(__xludf.DUMMYFUNCTION("SPLIT(E574, ""-"")"),"Auriculares")</f>
        <v>Auriculares</v>
      </c>
      <c r="G574" s="2" t="str">
        <f>IFERROR(__xludf.DUMMYFUNCTION("""COMPUTED_VALUE"""),"Bluetooth")</f>
        <v>Bluetooth</v>
      </c>
      <c r="H574" s="2" t="str">
        <f>IFERROR(__xludf.DUMMYFUNCTION("""COMPUTED_VALUE"""),"4GB")</f>
        <v>4GB</v>
      </c>
      <c r="I574" s="17">
        <v>1268.59</v>
      </c>
      <c r="J574" s="6">
        <v>4.0</v>
      </c>
      <c r="K574" s="17">
        <v>5074.36</v>
      </c>
      <c r="L574" s="2" t="s">
        <v>1792</v>
      </c>
      <c r="M574" s="2" t="s">
        <v>1793</v>
      </c>
      <c r="N574" s="2" t="s">
        <v>1794</v>
      </c>
    </row>
    <row r="575" ht="15.75" customHeight="1">
      <c r="A575" s="18">
        <v>45638.0</v>
      </c>
      <c r="B575" s="16" t="str">
        <f t="shared" si="1"/>
        <v>December</v>
      </c>
      <c r="C575" s="2" t="s">
        <v>57</v>
      </c>
      <c r="D575" s="2" t="str">
        <f t="shared" si="2"/>
        <v>Guadalajara</v>
      </c>
      <c r="E575" s="2" t="s">
        <v>115</v>
      </c>
      <c r="F575" s="2" t="str">
        <f>IFERROR(__xludf.DUMMYFUNCTION("SPLIT(E575, ""-"")"),"Teléfono")</f>
        <v>Teléfono</v>
      </c>
      <c r="G575" s="2" t="str">
        <f>IFERROR(__xludf.DUMMYFUNCTION("""COMPUTED_VALUE"""),"Gama baja")</f>
        <v>Gama baja</v>
      </c>
      <c r="H575" s="2" t="str">
        <f>IFERROR(__xludf.DUMMYFUNCTION("""COMPUTED_VALUE"""),"16GB")</f>
        <v>16GB</v>
      </c>
      <c r="I575" s="17">
        <v>181.16</v>
      </c>
      <c r="J575" s="6">
        <v>4.0</v>
      </c>
      <c r="K575" s="17">
        <v>724.64</v>
      </c>
      <c r="L575" s="2" t="s">
        <v>1795</v>
      </c>
      <c r="M575" s="2" t="s">
        <v>1796</v>
      </c>
      <c r="N575" s="2" t="s">
        <v>1797</v>
      </c>
    </row>
    <row r="576" ht="15.75" customHeight="1">
      <c r="A576" s="18">
        <v>45639.0</v>
      </c>
      <c r="B576" s="16" t="str">
        <f t="shared" si="1"/>
        <v>December</v>
      </c>
      <c r="C576" s="2" t="s">
        <v>9</v>
      </c>
      <c r="D576" s="2" t="str">
        <f t="shared" si="2"/>
        <v>Monterrey</v>
      </c>
      <c r="E576" s="2" t="s">
        <v>79</v>
      </c>
      <c r="F576" s="2" t="str">
        <f>IFERROR(__xludf.DUMMYFUNCTION("SPLIT(E576, ""-"")"),"Laptop")</f>
        <v>Laptop</v>
      </c>
      <c r="G576" s="2" t="str">
        <f>IFERROR(__xludf.DUMMYFUNCTION("""COMPUTED_VALUE"""),"Oficina")</f>
        <v>Oficina</v>
      </c>
      <c r="H576" s="2" t="str">
        <f>IFERROR(__xludf.DUMMYFUNCTION("""COMPUTED_VALUE"""),"16GB")</f>
        <v>16GB</v>
      </c>
      <c r="I576" s="17">
        <v>934.1</v>
      </c>
      <c r="J576" s="6">
        <v>2.0</v>
      </c>
      <c r="K576" s="17">
        <v>1868.2</v>
      </c>
      <c r="L576" s="2" t="s">
        <v>1798</v>
      </c>
      <c r="M576" s="2" t="s">
        <v>1799</v>
      </c>
      <c r="N576" s="2" t="s">
        <v>1800</v>
      </c>
    </row>
    <row r="577" ht="15.75" customHeight="1">
      <c r="A577" s="18">
        <v>45639.0</v>
      </c>
      <c r="B577" s="16" t="str">
        <f t="shared" si="1"/>
        <v>December</v>
      </c>
      <c r="C577" s="2" t="s">
        <v>9</v>
      </c>
      <c r="D577" s="2" t="str">
        <f t="shared" si="2"/>
        <v>Monterrey</v>
      </c>
      <c r="E577" s="2" t="s">
        <v>427</v>
      </c>
      <c r="F577" s="2" t="str">
        <f>IFERROR(__xludf.DUMMYFUNCTION("SPLIT(E577, ""-"")"),"Teléfono")</f>
        <v>Teléfono</v>
      </c>
      <c r="G577" s="2" t="str">
        <f>IFERROR(__xludf.DUMMYFUNCTION("""COMPUTED_VALUE"""),"Gama alta")</f>
        <v>Gama alta</v>
      </c>
      <c r="H577" s="2" t="str">
        <f>IFERROR(__xludf.DUMMYFUNCTION("""COMPUTED_VALUE"""),"4GB")</f>
        <v>4GB</v>
      </c>
      <c r="I577" s="17">
        <v>1566.36</v>
      </c>
      <c r="J577" s="6">
        <v>5.0</v>
      </c>
      <c r="K577" s="17">
        <v>7831.8</v>
      </c>
      <c r="L577" s="2" t="s">
        <v>1801</v>
      </c>
      <c r="M577" s="2" t="s">
        <v>1802</v>
      </c>
      <c r="N577" s="2" t="s">
        <v>1803</v>
      </c>
    </row>
    <row r="578" ht="15.75" customHeight="1">
      <c r="A578" s="18">
        <v>45639.0</v>
      </c>
      <c r="B578" s="16" t="str">
        <f t="shared" si="1"/>
        <v>December</v>
      </c>
      <c r="C578" s="2" t="s">
        <v>34</v>
      </c>
      <c r="D578" s="2" t="str">
        <f t="shared" si="2"/>
        <v>Medellín</v>
      </c>
      <c r="E578" s="2" t="s">
        <v>161</v>
      </c>
      <c r="F578" s="2" t="str">
        <f>IFERROR(__xludf.DUMMYFUNCTION("SPLIT(E578, ""-"")"),"Laptop")</f>
        <v>Laptop</v>
      </c>
      <c r="G578" s="2" t="str">
        <f>IFERROR(__xludf.DUMMYFUNCTION("""COMPUTED_VALUE"""),"Oficina")</f>
        <v>Oficina</v>
      </c>
      <c r="H578" s="2" t="str">
        <f>IFERROR(__xludf.DUMMYFUNCTION("""COMPUTED_VALUE"""),"32GB")</f>
        <v>32GB</v>
      </c>
      <c r="I578" s="17">
        <v>288.64</v>
      </c>
      <c r="J578" s="6">
        <v>1.0</v>
      </c>
      <c r="K578" s="17">
        <v>288.64</v>
      </c>
      <c r="L578" s="2" t="s">
        <v>1804</v>
      </c>
      <c r="M578" s="2" t="s">
        <v>1805</v>
      </c>
      <c r="N578" s="2" t="s">
        <v>1806</v>
      </c>
    </row>
    <row r="579" ht="15.75" customHeight="1">
      <c r="A579" s="18">
        <v>45639.0</v>
      </c>
      <c r="B579" s="16" t="str">
        <f t="shared" si="1"/>
        <v>December</v>
      </c>
      <c r="C579" s="2" t="s">
        <v>57</v>
      </c>
      <c r="D579" s="2" t="str">
        <f t="shared" si="2"/>
        <v>Guadalajara</v>
      </c>
      <c r="E579" s="2" t="s">
        <v>252</v>
      </c>
      <c r="F579" s="2" t="str">
        <f>IFERROR(__xludf.DUMMYFUNCTION("SPLIT(E579, ""-"")"),"Auriculares")</f>
        <v>Auriculares</v>
      </c>
      <c r="G579" s="2" t="str">
        <f>IFERROR(__xludf.DUMMYFUNCTION("""COMPUTED_VALUE"""),"Bluetooth")</f>
        <v>Bluetooth</v>
      </c>
      <c r="H579" s="2" t="str">
        <f>IFERROR(__xludf.DUMMYFUNCTION("""COMPUTED_VALUE"""),"8GB")</f>
        <v>8GB</v>
      </c>
      <c r="I579" s="17">
        <v>1164.16</v>
      </c>
      <c r="J579" s="6">
        <v>4.0</v>
      </c>
      <c r="K579" s="17">
        <v>4656.64</v>
      </c>
      <c r="L579" s="2" t="s">
        <v>1807</v>
      </c>
      <c r="M579" s="2" t="s">
        <v>1808</v>
      </c>
      <c r="N579" s="2" t="s">
        <v>1809</v>
      </c>
    </row>
    <row r="580" ht="15.75" customHeight="1">
      <c r="A580" s="18">
        <v>45639.0</v>
      </c>
      <c r="B580" s="16" t="str">
        <f t="shared" si="1"/>
        <v>December</v>
      </c>
      <c r="C580" s="2" t="s">
        <v>14</v>
      </c>
      <c r="D580" s="2" t="str">
        <f t="shared" si="2"/>
        <v>Bogotá</v>
      </c>
      <c r="E580" s="2" t="s">
        <v>289</v>
      </c>
      <c r="F580" s="2" t="str">
        <f>IFERROR(__xludf.DUMMYFUNCTION("SPLIT(E580, ""-"")"),"Teléfono")</f>
        <v>Teléfono</v>
      </c>
      <c r="G580" s="2" t="str">
        <f>IFERROR(__xludf.DUMMYFUNCTION("""COMPUTED_VALUE"""),"Gama alta")</f>
        <v>Gama alta</v>
      </c>
      <c r="H580" s="2" t="str">
        <f>IFERROR(__xludf.DUMMYFUNCTION("""COMPUTED_VALUE"""),"16GB")</f>
        <v>16GB</v>
      </c>
      <c r="I580" s="17">
        <v>494.57</v>
      </c>
      <c r="J580" s="6">
        <v>1.0</v>
      </c>
      <c r="K580" s="17">
        <v>494.57</v>
      </c>
      <c r="L580" s="2" t="s">
        <v>1810</v>
      </c>
      <c r="M580" s="2" t="s">
        <v>1811</v>
      </c>
      <c r="N580" s="2" t="s">
        <v>1812</v>
      </c>
    </row>
    <row r="581" ht="15.75" customHeight="1">
      <c r="A581" s="18">
        <v>45639.0</v>
      </c>
      <c r="B581" s="16" t="str">
        <f t="shared" si="1"/>
        <v>December</v>
      </c>
      <c r="C581" s="2" t="s">
        <v>57</v>
      </c>
      <c r="D581" s="2" t="str">
        <f t="shared" si="2"/>
        <v>Guadalajara</v>
      </c>
      <c r="E581" s="2" t="s">
        <v>88</v>
      </c>
      <c r="F581" s="2" t="str">
        <f>IFERROR(__xludf.DUMMYFUNCTION("SPLIT(E581, ""-"")"),"Laptop")</f>
        <v>Laptop</v>
      </c>
      <c r="G581" s="2" t="str">
        <f>IFERROR(__xludf.DUMMYFUNCTION("""COMPUTED_VALUE"""),"Gaming")</f>
        <v>Gaming</v>
      </c>
      <c r="H581" s="2" t="str">
        <f>IFERROR(__xludf.DUMMYFUNCTION("""COMPUTED_VALUE"""),"32GB")</f>
        <v>32GB</v>
      </c>
      <c r="I581" s="17">
        <v>2145.76</v>
      </c>
      <c r="J581" s="6">
        <v>5.0</v>
      </c>
      <c r="K581" s="17">
        <v>10728.8</v>
      </c>
      <c r="L581" s="2" t="s">
        <v>1813</v>
      </c>
      <c r="M581" s="2" t="s">
        <v>1814</v>
      </c>
      <c r="N581" s="2" t="s">
        <v>1815</v>
      </c>
    </row>
    <row r="582" ht="15.75" customHeight="1">
      <c r="A582" s="18">
        <v>45640.0</v>
      </c>
      <c r="B582" s="16" t="str">
        <f t="shared" si="1"/>
        <v>December</v>
      </c>
      <c r="C582" s="2" t="s">
        <v>74</v>
      </c>
      <c r="D582" s="2" t="str">
        <f t="shared" si="2"/>
        <v>Cali</v>
      </c>
      <c r="E582" s="2" t="s">
        <v>396</v>
      </c>
      <c r="F582" s="2" t="str">
        <f>IFERROR(__xludf.DUMMYFUNCTION("SPLIT(E582, ""-"")"),"Laptop")</f>
        <v>Laptop</v>
      </c>
      <c r="G582" s="2" t="str">
        <f>IFERROR(__xludf.DUMMYFUNCTION("""COMPUTED_VALUE"""),"Gaming")</f>
        <v>Gaming</v>
      </c>
      <c r="H582" s="2" t="str">
        <f>IFERROR(__xludf.DUMMYFUNCTION("""COMPUTED_VALUE"""),"4GB")</f>
        <v>4GB</v>
      </c>
      <c r="I582" s="17">
        <v>2116.69</v>
      </c>
      <c r="J582" s="6">
        <v>2.0</v>
      </c>
      <c r="K582" s="17">
        <v>4233.38</v>
      </c>
      <c r="L582" s="2" t="s">
        <v>1816</v>
      </c>
      <c r="M582" s="2" t="s">
        <v>1817</v>
      </c>
      <c r="N582" s="2" t="s">
        <v>1818</v>
      </c>
    </row>
    <row r="583" ht="15.75" customHeight="1">
      <c r="A583" s="18">
        <v>45640.0</v>
      </c>
      <c r="B583" s="16" t="str">
        <f t="shared" si="1"/>
        <v>December</v>
      </c>
      <c r="C583" s="2" t="s">
        <v>9</v>
      </c>
      <c r="D583" s="2" t="str">
        <f t="shared" si="2"/>
        <v>Monterrey</v>
      </c>
      <c r="E583" s="2" t="s">
        <v>183</v>
      </c>
      <c r="F583" s="2" t="str">
        <f>IFERROR(__xludf.DUMMYFUNCTION("SPLIT(E583, ""-"")"),"Auriculares")</f>
        <v>Auriculares</v>
      </c>
      <c r="G583" s="2" t="str">
        <f>IFERROR(__xludf.DUMMYFUNCTION("""COMPUTED_VALUE"""),"Cancelaci√≥n de ruido")</f>
        <v>Cancelaci√≥n de ruido</v>
      </c>
      <c r="H583" s="2" t="str">
        <f>IFERROR(__xludf.DUMMYFUNCTION("""COMPUTED_VALUE"""),"16GB")</f>
        <v>16GB</v>
      </c>
      <c r="I583" s="17">
        <v>2312.52</v>
      </c>
      <c r="J583" s="6">
        <v>1.0</v>
      </c>
      <c r="K583" s="17">
        <v>2312.52</v>
      </c>
      <c r="L583" s="2" t="s">
        <v>1819</v>
      </c>
      <c r="M583" s="2" t="s">
        <v>1820</v>
      </c>
      <c r="N583" s="2" t="s">
        <v>1821</v>
      </c>
    </row>
    <row r="584" ht="15.75" customHeight="1">
      <c r="A584" s="18">
        <v>45640.0</v>
      </c>
      <c r="B584" s="16" t="str">
        <f t="shared" si="1"/>
        <v>December</v>
      </c>
      <c r="C584" s="2" t="s">
        <v>34</v>
      </c>
      <c r="D584" s="2" t="str">
        <f t="shared" si="2"/>
        <v>Medellín</v>
      </c>
      <c r="E584" s="2" t="s">
        <v>151</v>
      </c>
      <c r="F584" s="2" t="str">
        <f>IFERROR(__xludf.DUMMYFUNCTION("SPLIT(E584, ""-"")"),"Laptop")</f>
        <v>Laptop</v>
      </c>
      <c r="G584" s="2" t="str">
        <f>IFERROR(__xludf.DUMMYFUNCTION("""COMPUTED_VALUE"""),"Gaming")</f>
        <v>Gaming</v>
      </c>
      <c r="H584" s="2" t="str">
        <f>IFERROR(__xludf.DUMMYFUNCTION("""COMPUTED_VALUE"""),"8GB")</f>
        <v>8GB</v>
      </c>
      <c r="I584" s="17">
        <v>516.02</v>
      </c>
      <c r="J584" s="6">
        <v>4.0</v>
      </c>
      <c r="K584" s="17">
        <v>2064.08</v>
      </c>
      <c r="L584" s="2" t="s">
        <v>1822</v>
      </c>
      <c r="M584" s="2" t="s">
        <v>1823</v>
      </c>
      <c r="N584" s="2" t="s">
        <v>1824</v>
      </c>
    </row>
    <row r="585" ht="15.75" customHeight="1">
      <c r="A585" s="18">
        <v>45640.0</v>
      </c>
      <c r="B585" s="16" t="str">
        <f t="shared" si="1"/>
        <v>December</v>
      </c>
      <c r="C585" s="2" t="s">
        <v>14</v>
      </c>
      <c r="D585" s="2" t="str">
        <f t="shared" si="2"/>
        <v>Bogotá</v>
      </c>
      <c r="E585" s="2" t="s">
        <v>308</v>
      </c>
      <c r="F585" s="2" t="str">
        <f>IFERROR(__xludf.DUMMYFUNCTION("SPLIT(E585, ""-"")"),"Laptop")</f>
        <v>Laptop</v>
      </c>
      <c r="G585" s="2" t="str">
        <f>IFERROR(__xludf.DUMMYFUNCTION("""COMPUTED_VALUE"""),"Ultraliviana")</f>
        <v>Ultraliviana</v>
      </c>
      <c r="H585" s="2" t="str">
        <f>IFERROR(__xludf.DUMMYFUNCTION("""COMPUTED_VALUE"""),"32GB")</f>
        <v>32GB</v>
      </c>
      <c r="I585" s="17">
        <v>177.74</v>
      </c>
      <c r="J585" s="6">
        <v>4.0</v>
      </c>
      <c r="K585" s="17">
        <v>710.96</v>
      </c>
      <c r="L585" s="2" t="s">
        <v>1825</v>
      </c>
      <c r="M585" s="2" t="s">
        <v>1826</v>
      </c>
      <c r="N585" s="2" t="s">
        <v>1827</v>
      </c>
    </row>
    <row r="586" ht="15.75" customHeight="1">
      <c r="A586" s="18">
        <v>45640.0</v>
      </c>
      <c r="B586" s="16" t="str">
        <f t="shared" si="1"/>
        <v>December</v>
      </c>
      <c r="C586" s="3" t="s">
        <v>29</v>
      </c>
      <c r="D586" s="2" t="str">
        <f t="shared" si="2"/>
        <v>Ciudad De Mexico</v>
      </c>
      <c r="E586" s="2" t="s">
        <v>79</v>
      </c>
      <c r="F586" s="2" t="str">
        <f>IFERROR(__xludf.DUMMYFUNCTION("SPLIT(E586, ""-"")"),"Laptop")</f>
        <v>Laptop</v>
      </c>
      <c r="G586" s="2" t="str">
        <f>IFERROR(__xludf.DUMMYFUNCTION("""COMPUTED_VALUE"""),"Oficina")</f>
        <v>Oficina</v>
      </c>
      <c r="H586" s="2" t="str">
        <f>IFERROR(__xludf.DUMMYFUNCTION("""COMPUTED_VALUE"""),"16GB")</f>
        <v>16GB</v>
      </c>
      <c r="I586" s="17">
        <v>2083.24</v>
      </c>
      <c r="J586" s="6">
        <v>1.0</v>
      </c>
      <c r="K586" s="17">
        <v>2083.24</v>
      </c>
      <c r="L586" s="2" t="s">
        <v>1828</v>
      </c>
      <c r="M586" s="2" t="s">
        <v>1829</v>
      </c>
      <c r="N586" s="2" t="s">
        <v>1830</v>
      </c>
    </row>
    <row r="587" ht="15.75" customHeight="1">
      <c r="A587" s="18">
        <v>45640.0</v>
      </c>
      <c r="B587" s="16" t="str">
        <f t="shared" si="1"/>
        <v>December</v>
      </c>
      <c r="C587" s="3" t="s">
        <v>29</v>
      </c>
      <c r="D587" s="2" t="str">
        <f t="shared" si="2"/>
        <v>Ciudad De Mexico</v>
      </c>
      <c r="E587" s="2" t="s">
        <v>49</v>
      </c>
      <c r="F587" s="2" t="str">
        <f>IFERROR(__xludf.DUMMYFUNCTION("SPLIT(E587, ""-"")"),"Tablet")</f>
        <v>Tablet</v>
      </c>
      <c r="G587" s="2" t="str">
        <f>IFERROR(__xludf.DUMMYFUNCTION("""COMPUTED_VALUE"""),"Estándar")</f>
        <v>Estándar</v>
      </c>
      <c r="H587" s="2" t="str">
        <f>IFERROR(__xludf.DUMMYFUNCTION("""COMPUTED_VALUE"""),"32GB")</f>
        <v>32GB</v>
      </c>
      <c r="I587" s="17">
        <v>818.61</v>
      </c>
      <c r="J587" s="6">
        <v>3.0</v>
      </c>
      <c r="K587" s="17">
        <v>2455.83</v>
      </c>
      <c r="L587" s="2" t="s">
        <v>1831</v>
      </c>
      <c r="M587" s="2" t="s">
        <v>1832</v>
      </c>
      <c r="N587" s="2" t="s">
        <v>1833</v>
      </c>
    </row>
    <row r="588" ht="15.75" customHeight="1">
      <c r="A588" s="18">
        <v>45640.0</v>
      </c>
      <c r="B588" s="16" t="str">
        <f t="shared" si="1"/>
        <v>December</v>
      </c>
      <c r="C588" s="2" t="s">
        <v>9</v>
      </c>
      <c r="D588" s="2" t="str">
        <f t="shared" si="2"/>
        <v>Monterrey</v>
      </c>
      <c r="E588" s="2" t="s">
        <v>15</v>
      </c>
      <c r="F588" s="2" t="str">
        <f>IFERROR(__xludf.DUMMYFUNCTION("SPLIT(E588, ""-"")"),"Auriculares")</f>
        <v>Auriculares</v>
      </c>
      <c r="G588" s="2" t="str">
        <f>IFERROR(__xludf.DUMMYFUNCTION("""COMPUTED_VALUE"""),"Con cable")</f>
        <v>Con cable</v>
      </c>
      <c r="H588" s="2" t="str">
        <f>IFERROR(__xludf.DUMMYFUNCTION("""COMPUTED_VALUE"""),"32GB")</f>
        <v>32GB</v>
      </c>
      <c r="I588" s="17">
        <v>2389.97</v>
      </c>
      <c r="J588" s="6">
        <v>3.0</v>
      </c>
      <c r="K588" s="17">
        <v>7169.91</v>
      </c>
      <c r="L588" s="2" t="s">
        <v>1834</v>
      </c>
      <c r="M588" s="2" t="s">
        <v>1835</v>
      </c>
      <c r="N588" s="2" t="s">
        <v>1836</v>
      </c>
    </row>
    <row r="589" ht="15.75" customHeight="1">
      <c r="A589" s="18">
        <v>45640.0</v>
      </c>
      <c r="B589" s="16" t="str">
        <f t="shared" si="1"/>
        <v>December</v>
      </c>
      <c r="C589" s="2" t="s">
        <v>57</v>
      </c>
      <c r="D589" s="2" t="str">
        <f t="shared" si="2"/>
        <v>Guadalajara</v>
      </c>
      <c r="E589" s="2" t="s">
        <v>396</v>
      </c>
      <c r="F589" s="2" t="str">
        <f>IFERROR(__xludf.DUMMYFUNCTION("SPLIT(E589, ""-"")"),"Laptop")</f>
        <v>Laptop</v>
      </c>
      <c r="G589" s="2" t="str">
        <f>IFERROR(__xludf.DUMMYFUNCTION("""COMPUTED_VALUE"""),"Gaming")</f>
        <v>Gaming</v>
      </c>
      <c r="H589" s="2" t="str">
        <f>IFERROR(__xludf.DUMMYFUNCTION("""COMPUTED_VALUE"""),"4GB")</f>
        <v>4GB</v>
      </c>
      <c r="I589" s="17">
        <v>997.09</v>
      </c>
      <c r="J589" s="6">
        <v>2.0</v>
      </c>
      <c r="K589" s="17">
        <v>1994.18</v>
      </c>
      <c r="L589" s="2" t="s">
        <v>1837</v>
      </c>
      <c r="M589" s="2" t="s">
        <v>1838</v>
      </c>
      <c r="N589" s="2" t="s">
        <v>1839</v>
      </c>
    </row>
    <row r="590" ht="15.75" customHeight="1">
      <c r="A590" s="18">
        <v>45640.0</v>
      </c>
      <c r="B590" s="16" t="str">
        <f t="shared" si="1"/>
        <v>December</v>
      </c>
      <c r="C590" s="3" t="s">
        <v>29</v>
      </c>
      <c r="D590" s="2" t="str">
        <f t="shared" si="2"/>
        <v>Ciudad De Mexico</v>
      </c>
      <c r="E590" s="2" t="s">
        <v>230</v>
      </c>
      <c r="F590" s="2" t="str">
        <f>IFERROR(__xludf.DUMMYFUNCTION("SPLIT(E590, ""-"")"),"Tablet")</f>
        <v>Tablet</v>
      </c>
      <c r="G590" s="2" t="str">
        <f>IFERROR(__xludf.DUMMYFUNCTION("""COMPUTED_VALUE"""),"Mini")</f>
        <v>Mini</v>
      </c>
      <c r="H590" s="2" t="str">
        <f>IFERROR(__xludf.DUMMYFUNCTION("""COMPUTED_VALUE"""),"16GB")</f>
        <v>16GB</v>
      </c>
      <c r="I590" s="17">
        <v>1939.56</v>
      </c>
      <c r="J590" s="6">
        <v>5.0</v>
      </c>
      <c r="K590" s="17">
        <v>9697.8</v>
      </c>
      <c r="L590" s="2" t="s">
        <v>1840</v>
      </c>
      <c r="M590" s="2" t="s">
        <v>1841</v>
      </c>
      <c r="N590" s="2" t="s">
        <v>1842</v>
      </c>
    </row>
    <row r="591" ht="15.75" customHeight="1">
      <c r="A591" s="18">
        <v>45641.0</v>
      </c>
      <c r="B591" s="16" t="str">
        <f t="shared" si="1"/>
        <v>December</v>
      </c>
      <c r="C591" s="2" t="s">
        <v>9</v>
      </c>
      <c r="D591" s="2" t="str">
        <f t="shared" si="2"/>
        <v>Monterrey</v>
      </c>
      <c r="E591" s="2" t="s">
        <v>92</v>
      </c>
      <c r="F591" s="2" t="str">
        <f>IFERROR(__xludf.DUMMYFUNCTION("SPLIT(E591, ""-"")"),"Tablet")</f>
        <v>Tablet</v>
      </c>
      <c r="G591" s="2" t="str">
        <f>IFERROR(__xludf.DUMMYFUNCTION("""COMPUTED_VALUE"""),"Mini")</f>
        <v>Mini</v>
      </c>
      <c r="H591" s="2" t="str">
        <f>IFERROR(__xludf.DUMMYFUNCTION("""COMPUTED_VALUE"""),"8GB")</f>
        <v>8GB</v>
      </c>
      <c r="I591" s="17">
        <v>787.6</v>
      </c>
      <c r="J591" s="6">
        <v>1.0</v>
      </c>
      <c r="K591" s="17">
        <v>787.6</v>
      </c>
      <c r="L591" s="2" t="s">
        <v>1843</v>
      </c>
      <c r="M591" s="2" t="s">
        <v>1844</v>
      </c>
      <c r="N591" s="2" t="s">
        <v>1845</v>
      </c>
    </row>
    <row r="592" ht="15.75" customHeight="1">
      <c r="A592" s="18">
        <v>45641.0</v>
      </c>
      <c r="B592" s="16" t="str">
        <f t="shared" si="1"/>
        <v>December</v>
      </c>
      <c r="C592" s="2" t="s">
        <v>9</v>
      </c>
      <c r="D592" s="2" t="str">
        <f t="shared" si="2"/>
        <v>Monterrey</v>
      </c>
      <c r="E592" s="2" t="s">
        <v>115</v>
      </c>
      <c r="F592" s="2" t="str">
        <f>IFERROR(__xludf.DUMMYFUNCTION("SPLIT(E592, ""-"")"),"Teléfono")</f>
        <v>Teléfono</v>
      </c>
      <c r="G592" s="2" t="str">
        <f>IFERROR(__xludf.DUMMYFUNCTION("""COMPUTED_VALUE"""),"Gama baja")</f>
        <v>Gama baja</v>
      </c>
      <c r="H592" s="2" t="str">
        <f>IFERROR(__xludf.DUMMYFUNCTION("""COMPUTED_VALUE"""),"16GB")</f>
        <v>16GB</v>
      </c>
      <c r="I592" s="17">
        <v>1710.52</v>
      </c>
      <c r="J592" s="6">
        <v>2.0</v>
      </c>
      <c r="K592" s="17">
        <v>3421.04</v>
      </c>
      <c r="L592" s="2" t="s">
        <v>1846</v>
      </c>
      <c r="M592" s="2" t="s">
        <v>1847</v>
      </c>
      <c r="N592" s="2" t="s">
        <v>1848</v>
      </c>
    </row>
    <row r="593" ht="15.75" customHeight="1">
      <c r="A593" s="18">
        <v>45641.0</v>
      </c>
      <c r="B593" s="16" t="str">
        <f t="shared" si="1"/>
        <v>December</v>
      </c>
      <c r="C593" s="2" t="s">
        <v>57</v>
      </c>
      <c r="D593" s="2" t="str">
        <f t="shared" si="2"/>
        <v>Guadalajara</v>
      </c>
      <c r="E593" s="2" t="s">
        <v>341</v>
      </c>
      <c r="F593" s="2" t="str">
        <f>IFERROR(__xludf.DUMMYFUNCTION("SPLIT(E593, ""-"")"),"Laptop")</f>
        <v>Laptop</v>
      </c>
      <c r="G593" s="2" t="str">
        <f>IFERROR(__xludf.DUMMYFUNCTION("""COMPUTED_VALUE"""),"Ultraliviana")</f>
        <v>Ultraliviana</v>
      </c>
      <c r="H593" s="2" t="str">
        <f>IFERROR(__xludf.DUMMYFUNCTION("""COMPUTED_VALUE"""),"8GB")</f>
        <v>8GB</v>
      </c>
      <c r="I593" s="17">
        <v>817.31</v>
      </c>
      <c r="J593" s="6">
        <v>2.0</v>
      </c>
      <c r="K593" s="17">
        <v>1634.62</v>
      </c>
      <c r="L593" s="2" t="s">
        <v>1849</v>
      </c>
      <c r="M593" s="2" t="s">
        <v>1850</v>
      </c>
      <c r="N593" s="2" t="s">
        <v>1851</v>
      </c>
    </row>
    <row r="594" ht="15.75" customHeight="1">
      <c r="A594" s="18">
        <v>45641.0</v>
      </c>
      <c r="B594" s="16" t="str">
        <f t="shared" si="1"/>
        <v>December</v>
      </c>
      <c r="C594" s="2" t="s">
        <v>14</v>
      </c>
      <c r="D594" s="2" t="str">
        <f t="shared" si="2"/>
        <v>Bogotá</v>
      </c>
      <c r="E594" s="2" t="s">
        <v>165</v>
      </c>
      <c r="F594" s="2" t="str">
        <f>IFERROR(__xludf.DUMMYFUNCTION("SPLIT(E594, ""-"")"),"Auriculares")</f>
        <v>Auriculares</v>
      </c>
      <c r="G594" s="2" t="str">
        <f>IFERROR(__xludf.DUMMYFUNCTION("""COMPUTED_VALUE"""),"Bluetooth")</f>
        <v>Bluetooth</v>
      </c>
      <c r="H594" s="2" t="str">
        <f>IFERROR(__xludf.DUMMYFUNCTION("""COMPUTED_VALUE"""),"32GB")</f>
        <v>32GB</v>
      </c>
      <c r="I594" s="17">
        <v>101.1</v>
      </c>
      <c r="J594" s="6">
        <v>3.0</v>
      </c>
      <c r="K594" s="17">
        <v>303.3</v>
      </c>
      <c r="L594" s="2" t="s">
        <v>1852</v>
      </c>
      <c r="M594" s="2" t="s">
        <v>1853</v>
      </c>
      <c r="N594" s="2" t="s">
        <v>1854</v>
      </c>
    </row>
    <row r="595" ht="15.75" customHeight="1">
      <c r="A595" s="18">
        <v>45641.0</v>
      </c>
      <c r="B595" s="16" t="str">
        <f t="shared" si="1"/>
        <v>December</v>
      </c>
      <c r="C595" s="2" t="s">
        <v>9</v>
      </c>
      <c r="D595" s="2" t="str">
        <f t="shared" si="2"/>
        <v>Monterrey</v>
      </c>
      <c r="E595" s="2" t="s">
        <v>222</v>
      </c>
      <c r="F595" s="2" t="str">
        <f>IFERROR(__xludf.DUMMYFUNCTION("SPLIT(E595, ""-"")"),"Laptop")</f>
        <v>Laptop</v>
      </c>
      <c r="G595" s="2" t="str">
        <f>IFERROR(__xludf.DUMMYFUNCTION("""COMPUTED_VALUE"""),"Gaming")</f>
        <v>Gaming</v>
      </c>
      <c r="H595" s="2" t="str">
        <f>IFERROR(__xludf.DUMMYFUNCTION("""COMPUTED_VALUE"""),"16GB")</f>
        <v>16GB</v>
      </c>
      <c r="I595" s="17">
        <v>303.05</v>
      </c>
      <c r="J595" s="6">
        <v>1.0</v>
      </c>
      <c r="K595" s="17">
        <v>303.05</v>
      </c>
      <c r="L595" s="2" t="s">
        <v>1855</v>
      </c>
      <c r="M595" s="2" t="s">
        <v>1856</v>
      </c>
      <c r="N595" s="2" t="s">
        <v>1857</v>
      </c>
    </row>
    <row r="596" ht="15.75" customHeight="1">
      <c r="A596" s="18">
        <v>45641.0</v>
      </c>
      <c r="B596" s="16" t="str">
        <f t="shared" si="1"/>
        <v>December</v>
      </c>
      <c r="C596" s="2" t="s">
        <v>74</v>
      </c>
      <c r="D596" s="2" t="str">
        <f t="shared" si="2"/>
        <v>Cali</v>
      </c>
      <c r="E596" s="2" t="s">
        <v>187</v>
      </c>
      <c r="F596" s="2" t="str">
        <f>IFERROR(__xludf.DUMMYFUNCTION("SPLIT(E596, ""-"")"),"Laptop")</f>
        <v>Laptop</v>
      </c>
      <c r="G596" s="2" t="str">
        <f>IFERROR(__xludf.DUMMYFUNCTION("""COMPUTED_VALUE"""),"Ultraliviana")</f>
        <v>Ultraliviana</v>
      </c>
      <c r="H596" s="2" t="str">
        <f>IFERROR(__xludf.DUMMYFUNCTION("""COMPUTED_VALUE"""),"16GB")</f>
        <v>16GB</v>
      </c>
      <c r="I596" s="17">
        <v>806.78</v>
      </c>
      <c r="J596" s="6">
        <v>1.0</v>
      </c>
      <c r="K596" s="17">
        <v>806.78</v>
      </c>
      <c r="L596" s="2" t="s">
        <v>1858</v>
      </c>
      <c r="M596" s="2" t="s">
        <v>1859</v>
      </c>
      <c r="N596" s="2" t="s">
        <v>1860</v>
      </c>
    </row>
    <row r="597" ht="15.75" customHeight="1">
      <c r="A597" s="18">
        <v>45641.0</v>
      </c>
      <c r="B597" s="16" t="str">
        <f t="shared" si="1"/>
        <v>December</v>
      </c>
      <c r="C597" s="2" t="s">
        <v>57</v>
      </c>
      <c r="D597" s="2" t="str">
        <f t="shared" si="2"/>
        <v>Guadalajara</v>
      </c>
      <c r="E597" s="2" t="s">
        <v>130</v>
      </c>
      <c r="F597" s="2" t="str">
        <f>IFERROR(__xludf.DUMMYFUNCTION("SPLIT(E597, ""-"")"),"Tablet")</f>
        <v>Tablet</v>
      </c>
      <c r="G597" s="2" t="str">
        <f>IFERROR(__xludf.DUMMYFUNCTION("""COMPUTED_VALUE"""),"Pro")</f>
        <v>Pro</v>
      </c>
      <c r="H597" s="2" t="str">
        <f>IFERROR(__xludf.DUMMYFUNCTION("""COMPUTED_VALUE"""),"8GB")</f>
        <v>8GB</v>
      </c>
      <c r="I597" s="17">
        <v>741.53</v>
      </c>
      <c r="J597" s="6">
        <v>3.0</v>
      </c>
      <c r="K597" s="17">
        <v>2224.59</v>
      </c>
      <c r="L597" s="2" t="s">
        <v>1861</v>
      </c>
      <c r="M597" s="2" t="s">
        <v>1862</v>
      </c>
      <c r="N597" s="2" t="s">
        <v>1863</v>
      </c>
    </row>
    <row r="598" ht="15.75" customHeight="1">
      <c r="A598" s="18">
        <v>45641.0</v>
      </c>
      <c r="B598" s="16" t="str">
        <f t="shared" si="1"/>
        <v>December</v>
      </c>
      <c r="C598" s="3" t="s">
        <v>29</v>
      </c>
      <c r="D598" s="2" t="str">
        <f t="shared" si="2"/>
        <v>Ciudad De Mexico</v>
      </c>
      <c r="E598" s="2" t="s">
        <v>30</v>
      </c>
      <c r="F598" s="2" t="str">
        <f>IFERROR(__xludf.DUMMYFUNCTION("SPLIT(E598, ""-"")"),"Teléfono")</f>
        <v>Teléfono</v>
      </c>
      <c r="G598" s="2" t="str">
        <f>IFERROR(__xludf.DUMMYFUNCTION("""COMPUTED_VALUE"""),"Gama alta")</f>
        <v>Gama alta</v>
      </c>
      <c r="H598" s="2" t="str">
        <f>IFERROR(__xludf.DUMMYFUNCTION("""COMPUTED_VALUE"""),"32GB")</f>
        <v>32GB</v>
      </c>
      <c r="I598" s="17">
        <v>1423.68</v>
      </c>
      <c r="J598" s="6">
        <v>1.0</v>
      </c>
      <c r="K598" s="17">
        <v>1423.68</v>
      </c>
      <c r="L598" s="2" t="s">
        <v>1864</v>
      </c>
      <c r="M598" s="2" t="s">
        <v>1865</v>
      </c>
      <c r="N598" s="2" t="s">
        <v>1866</v>
      </c>
    </row>
    <row r="599" ht="15.75" customHeight="1">
      <c r="A599" s="18">
        <v>45642.0</v>
      </c>
      <c r="B599" s="16" t="str">
        <f t="shared" si="1"/>
        <v>December</v>
      </c>
      <c r="C599" s="2" t="s">
        <v>9</v>
      </c>
      <c r="D599" s="2" t="str">
        <f t="shared" si="2"/>
        <v>Monterrey</v>
      </c>
      <c r="E599" s="2" t="s">
        <v>215</v>
      </c>
      <c r="F599" s="2" t="str">
        <f>IFERROR(__xludf.DUMMYFUNCTION("SPLIT(E599, ""-"")"),"Teléfono")</f>
        <v>Teléfono</v>
      </c>
      <c r="G599" s="2" t="str">
        <f>IFERROR(__xludf.DUMMYFUNCTION("""COMPUTED_VALUE"""),"Gama media")</f>
        <v>Gama media</v>
      </c>
      <c r="H599" s="2" t="str">
        <f>IFERROR(__xludf.DUMMYFUNCTION("""COMPUTED_VALUE"""),"4GB")</f>
        <v>4GB</v>
      </c>
      <c r="I599" s="17">
        <v>658.01</v>
      </c>
      <c r="J599" s="6">
        <v>5.0</v>
      </c>
      <c r="K599" s="17">
        <v>3290.05</v>
      </c>
      <c r="L599" s="2" t="s">
        <v>1867</v>
      </c>
      <c r="M599" s="2" t="s">
        <v>1868</v>
      </c>
      <c r="N599" s="2" t="s">
        <v>1869</v>
      </c>
    </row>
    <row r="600" ht="15.75" customHeight="1">
      <c r="A600" s="18">
        <v>45642.0</v>
      </c>
      <c r="B600" s="16" t="str">
        <f t="shared" si="1"/>
        <v>December</v>
      </c>
      <c r="C600" s="2" t="s">
        <v>34</v>
      </c>
      <c r="D600" s="2" t="str">
        <f t="shared" si="2"/>
        <v>Medellín</v>
      </c>
      <c r="E600" s="2" t="s">
        <v>151</v>
      </c>
      <c r="F600" s="2" t="str">
        <f>IFERROR(__xludf.DUMMYFUNCTION("SPLIT(E600, ""-"")"),"Laptop")</f>
        <v>Laptop</v>
      </c>
      <c r="G600" s="2" t="str">
        <f>IFERROR(__xludf.DUMMYFUNCTION("""COMPUTED_VALUE"""),"Gaming")</f>
        <v>Gaming</v>
      </c>
      <c r="H600" s="2" t="str">
        <f>IFERROR(__xludf.DUMMYFUNCTION("""COMPUTED_VALUE"""),"8GB")</f>
        <v>8GB</v>
      </c>
      <c r="I600" s="17">
        <v>421.27</v>
      </c>
      <c r="J600" s="6">
        <v>4.0</v>
      </c>
      <c r="K600" s="17">
        <v>1685.08</v>
      </c>
      <c r="L600" s="2" t="s">
        <v>1870</v>
      </c>
      <c r="M600" s="2" t="s">
        <v>1871</v>
      </c>
      <c r="N600" s="2" t="s">
        <v>1872</v>
      </c>
    </row>
    <row r="601" ht="15.75" customHeight="1">
      <c r="A601" s="18">
        <v>45642.0</v>
      </c>
      <c r="B601" s="16" t="str">
        <f t="shared" si="1"/>
        <v>December</v>
      </c>
      <c r="C601" s="2" t="s">
        <v>74</v>
      </c>
      <c r="D601" s="2" t="str">
        <f t="shared" si="2"/>
        <v>Cali</v>
      </c>
      <c r="E601" s="2" t="s">
        <v>289</v>
      </c>
      <c r="F601" s="2" t="str">
        <f>IFERROR(__xludf.DUMMYFUNCTION("SPLIT(E601, ""-"")"),"Teléfono")</f>
        <v>Teléfono</v>
      </c>
      <c r="G601" s="2" t="str">
        <f>IFERROR(__xludf.DUMMYFUNCTION("""COMPUTED_VALUE"""),"Gama alta")</f>
        <v>Gama alta</v>
      </c>
      <c r="H601" s="2" t="str">
        <f>IFERROR(__xludf.DUMMYFUNCTION("""COMPUTED_VALUE"""),"16GB")</f>
        <v>16GB</v>
      </c>
      <c r="I601" s="17">
        <v>814.63</v>
      </c>
      <c r="J601" s="6">
        <v>1.0</v>
      </c>
      <c r="K601" s="17">
        <v>814.63</v>
      </c>
      <c r="L601" s="2" t="s">
        <v>1873</v>
      </c>
      <c r="M601" s="2" t="s">
        <v>1874</v>
      </c>
      <c r="N601" s="2" t="s">
        <v>1875</v>
      </c>
    </row>
    <row r="602" ht="15.75" customHeight="1">
      <c r="A602" s="18">
        <v>45642.0</v>
      </c>
      <c r="B602" s="16" t="str">
        <f t="shared" si="1"/>
        <v>December</v>
      </c>
      <c r="C602" s="2" t="s">
        <v>34</v>
      </c>
      <c r="D602" s="2" t="str">
        <f t="shared" si="2"/>
        <v>Medellín</v>
      </c>
      <c r="E602" s="2" t="s">
        <v>289</v>
      </c>
      <c r="F602" s="2" t="str">
        <f>IFERROR(__xludf.DUMMYFUNCTION("SPLIT(E602, ""-"")"),"Teléfono")</f>
        <v>Teléfono</v>
      </c>
      <c r="G602" s="2" t="str">
        <f>IFERROR(__xludf.DUMMYFUNCTION("""COMPUTED_VALUE"""),"Gama alta")</f>
        <v>Gama alta</v>
      </c>
      <c r="H602" s="2" t="str">
        <f>IFERROR(__xludf.DUMMYFUNCTION("""COMPUTED_VALUE"""),"16GB")</f>
        <v>16GB</v>
      </c>
      <c r="I602" s="17">
        <v>205.57</v>
      </c>
      <c r="J602" s="6">
        <v>5.0</v>
      </c>
      <c r="K602" s="17">
        <v>1027.85</v>
      </c>
      <c r="L602" s="2" t="s">
        <v>1876</v>
      </c>
      <c r="M602" s="2" t="s">
        <v>1877</v>
      </c>
      <c r="N602" s="2" t="s">
        <v>1878</v>
      </c>
    </row>
    <row r="603" ht="15.75" customHeight="1">
      <c r="A603" s="18">
        <v>45642.0</v>
      </c>
      <c r="B603" s="16" t="str">
        <f t="shared" si="1"/>
        <v>December</v>
      </c>
      <c r="C603" s="2" t="s">
        <v>34</v>
      </c>
      <c r="D603" s="2" t="str">
        <f t="shared" si="2"/>
        <v>Medellín</v>
      </c>
      <c r="E603" s="2" t="s">
        <v>215</v>
      </c>
      <c r="F603" s="2" t="str">
        <f>IFERROR(__xludf.DUMMYFUNCTION("SPLIT(E603, ""-"")"),"Teléfono")</f>
        <v>Teléfono</v>
      </c>
      <c r="G603" s="2" t="str">
        <f>IFERROR(__xludf.DUMMYFUNCTION("""COMPUTED_VALUE"""),"Gama media")</f>
        <v>Gama media</v>
      </c>
      <c r="H603" s="2" t="str">
        <f>IFERROR(__xludf.DUMMYFUNCTION("""COMPUTED_VALUE"""),"4GB")</f>
        <v>4GB</v>
      </c>
      <c r="I603" s="17">
        <v>785.82</v>
      </c>
      <c r="J603" s="6">
        <v>2.0</v>
      </c>
      <c r="K603" s="17">
        <v>1571.64</v>
      </c>
      <c r="L603" s="2" t="s">
        <v>1879</v>
      </c>
      <c r="M603" s="2" t="s">
        <v>1880</v>
      </c>
      <c r="N603" s="2" t="s">
        <v>1881</v>
      </c>
    </row>
    <row r="604" ht="15.75" customHeight="1">
      <c r="A604" s="18">
        <v>45642.0</v>
      </c>
      <c r="B604" s="16" t="str">
        <f t="shared" si="1"/>
        <v>December</v>
      </c>
      <c r="C604" s="3" t="s">
        <v>29</v>
      </c>
      <c r="D604" s="2" t="str">
        <f t="shared" si="2"/>
        <v>Ciudad De Mexico</v>
      </c>
      <c r="E604" s="2" t="s">
        <v>252</v>
      </c>
      <c r="F604" s="2" t="str">
        <f>IFERROR(__xludf.DUMMYFUNCTION("SPLIT(E604, ""-"")"),"Auriculares")</f>
        <v>Auriculares</v>
      </c>
      <c r="G604" s="2" t="str">
        <f>IFERROR(__xludf.DUMMYFUNCTION("""COMPUTED_VALUE"""),"Bluetooth")</f>
        <v>Bluetooth</v>
      </c>
      <c r="H604" s="2" t="str">
        <f>IFERROR(__xludf.DUMMYFUNCTION("""COMPUTED_VALUE"""),"8GB")</f>
        <v>8GB</v>
      </c>
      <c r="I604" s="17">
        <v>1220.85</v>
      </c>
      <c r="J604" s="6">
        <v>1.0</v>
      </c>
      <c r="K604" s="17">
        <v>1220.85</v>
      </c>
      <c r="L604" s="2" t="s">
        <v>1882</v>
      </c>
      <c r="M604" s="2" t="s">
        <v>1883</v>
      </c>
      <c r="N604" s="2" t="s">
        <v>1884</v>
      </c>
    </row>
    <row r="605" ht="15.75" customHeight="1">
      <c r="A605" s="18">
        <v>45642.0</v>
      </c>
      <c r="B605" s="16" t="str">
        <f t="shared" si="1"/>
        <v>December</v>
      </c>
      <c r="C605" s="2" t="s">
        <v>57</v>
      </c>
      <c r="D605" s="2" t="str">
        <f t="shared" si="2"/>
        <v>Guadalajara</v>
      </c>
      <c r="E605" s="2" t="s">
        <v>62</v>
      </c>
      <c r="F605" s="2" t="str">
        <f>IFERROR(__xludf.DUMMYFUNCTION("SPLIT(E605, ""-"")"),"Laptop")</f>
        <v>Laptop</v>
      </c>
      <c r="G605" s="2" t="str">
        <f>IFERROR(__xludf.DUMMYFUNCTION("""COMPUTED_VALUE"""),"Ultraliviana")</f>
        <v>Ultraliviana</v>
      </c>
      <c r="H605" s="2" t="str">
        <f>IFERROR(__xludf.DUMMYFUNCTION("""COMPUTED_VALUE"""),"4GB")</f>
        <v>4GB</v>
      </c>
      <c r="I605" s="17">
        <v>2281.01</v>
      </c>
      <c r="J605" s="6">
        <v>4.0</v>
      </c>
      <c r="K605" s="17">
        <v>9124.04</v>
      </c>
      <c r="L605" s="2" t="s">
        <v>1885</v>
      </c>
      <c r="M605" s="2" t="s">
        <v>1886</v>
      </c>
      <c r="N605" s="2" t="s">
        <v>1887</v>
      </c>
    </row>
    <row r="606" ht="15.75" customHeight="1">
      <c r="A606" s="18">
        <v>45642.0</v>
      </c>
      <c r="B606" s="16" t="str">
        <f t="shared" si="1"/>
        <v>December</v>
      </c>
      <c r="C606" s="2" t="s">
        <v>14</v>
      </c>
      <c r="D606" s="2" t="str">
        <f t="shared" si="2"/>
        <v>Bogotá</v>
      </c>
      <c r="E606" s="2" t="s">
        <v>252</v>
      </c>
      <c r="F606" s="2" t="str">
        <f>IFERROR(__xludf.DUMMYFUNCTION("SPLIT(E606, ""-"")"),"Auriculares")</f>
        <v>Auriculares</v>
      </c>
      <c r="G606" s="2" t="str">
        <f>IFERROR(__xludf.DUMMYFUNCTION("""COMPUTED_VALUE"""),"Bluetooth")</f>
        <v>Bluetooth</v>
      </c>
      <c r="H606" s="2" t="str">
        <f>IFERROR(__xludf.DUMMYFUNCTION("""COMPUTED_VALUE"""),"8GB")</f>
        <v>8GB</v>
      </c>
      <c r="I606" s="17">
        <v>763.21</v>
      </c>
      <c r="J606" s="6">
        <v>5.0</v>
      </c>
      <c r="K606" s="17">
        <v>3816.05</v>
      </c>
      <c r="L606" s="2" t="s">
        <v>1888</v>
      </c>
      <c r="M606" s="2" t="s">
        <v>1889</v>
      </c>
      <c r="N606" s="2" t="s">
        <v>1890</v>
      </c>
    </row>
    <row r="607" ht="15.75" customHeight="1">
      <c r="A607" s="18">
        <v>45642.0</v>
      </c>
      <c r="B607" s="16" t="str">
        <f t="shared" si="1"/>
        <v>December</v>
      </c>
      <c r="C607" s="2" t="s">
        <v>74</v>
      </c>
      <c r="D607" s="2" t="str">
        <f t="shared" si="2"/>
        <v>Cali</v>
      </c>
      <c r="E607" s="2" t="s">
        <v>396</v>
      </c>
      <c r="F607" s="2" t="str">
        <f>IFERROR(__xludf.DUMMYFUNCTION("SPLIT(E607, ""-"")"),"Laptop")</f>
        <v>Laptop</v>
      </c>
      <c r="G607" s="2" t="str">
        <f>IFERROR(__xludf.DUMMYFUNCTION("""COMPUTED_VALUE"""),"Gaming")</f>
        <v>Gaming</v>
      </c>
      <c r="H607" s="2" t="str">
        <f>IFERROR(__xludf.DUMMYFUNCTION("""COMPUTED_VALUE"""),"4GB")</f>
        <v>4GB</v>
      </c>
      <c r="I607" s="17">
        <v>1711.88</v>
      </c>
      <c r="J607" s="6">
        <v>2.0</v>
      </c>
      <c r="K607" s="17">
        <v>3423.76</v>
      </c>
      <c r="L607" s="2" t="s">
        <v>1891</v>
      </c>
      <c r="M607" s="2" t="s">
        <v>1892</v>
      </c>
      <c r="N607" s="2" t="s">
        <v>1893</v>
      </c>
    </row>
    <row r="608" ht="15.75" customHeight="1">
      <c r="A608" s="18">
        <v>45642.0</v>
      </c>
      <c r="B608" s="16" t="str">
        <f t="shared" si="1"/>
        <v>December</v>
      </c>
      <c r="C608" s="2" t="s">
        <v>34</v>
      </c>
      <c r="D608" s="2" t="str">
        <f t="shared" si="2"/>
        <v>Medellín</v>
      </c>
      <c r="E608" s="2" t="s">
        <v>137</v>
      </c>
      <c r="F608" s="2" t="str">
        <f>IFERROR(__xludf.DUMMYFUNCTION("SPLIT(E608, ""-"")"),"Auriculares")</f>
        <v>Auriculares</v>
      </c>
      <c r="G608" s="2" t="str">
        <f>IFERROR(__xludf.DUMMYFUNCTION("""COMPUTED_VALUE"""),"Con cable")</f>
        <v>Con cable</v>
      </c>
      <c r="H608" s="2" t="str">
        <f>IFERROR(__xludf.DUMMYFUNCTION("""COMPUTED_VALUE"""),"16GB")</f>
        <v>16GB</v>
      </c>
      <c r="I608" s="17">
        <v>1252.47</v>
      </c>
      <c r="J608" s="6">
        <v>5.0</v>
      </c>
      <c r="K608" s="17">
        <v>6262.35</v>
      </c>
      <c r="L608" s="2" t="s">
        <v>1894</v>
      </c>
      <c r="M608" s="2" t="s">
        <v>1895</v>
      </c>
      <c r="N608" s="2" t="s">
        <v>1896</v>
      </c>
    </row>
    <row r="609" ht="15.75" customHeight="1">
      <c r="A609" s="18">
        <v>45642.0</v>
      </c>
      <c r="B609" s="16" t="str">
        <f t="shared" si="1"/>
        <v>December</v>
      </c>
      <c r="C609" s="2" t="s">
        <v>34</v>
      </c>
      <c r="D609" s="2" t="str">
        <f t="shared" si="2"/>
        <v>Medellín</v>
      </c>
      <c r="E609" s="2" t="s">
        <v>279</v>
      </c>
      <c r="F609" s="2" t="str">
        <f>IFERROR(__xludf.DUMMYFUNCTION("SPLIT(E609, ""-"")"),"Tablet")</f>
        <v>Tablet</v>
      </c>
      <c r="G609" s="2" t="str">
        <f>IFERROR(__xludf.DUMMYFUNCTION("""COMPUTED_VALUE"""),"Pro")</f>
        <v>Pro</v>
      </c>
      <c r="H609" s="2" t="str">
        <f>IFERROR(__xludf.DUMMYFUNCTION("""COMPUTED_VALUE"""),"16GB")</f>
        <v>16GB</v>
      </c>
      <c r="I609" s="17">
        <v>1119.17</v>
      </c>
      <c r="J609" s="6">
        <v>5.0</v>
      </c>
      <c r="K609" s="17">
        <v>5595.85</v>
      </c>
      <c r="L609" s="2" t="s">
        <v>1897</v>
      </c>
      <c r="M609" s="2" t="s">
        <v>1898</v>
      </c>
      <c r="N609" s="2" t="s">
        <v>1899</v>
      </c>
    </row>
    <row r="610" ht="15.75" customHeight="1">
      <c r="A610" s="18">
        <v>45642.0</v>
      </c>
      <c r="B610" s="16" t="str">
        <f t="shared" si="1"/>
        <v>December</v>
      </c>
      <c r="C610" s="2" t="s">
        <v>9</v>
      </c>
      <c r="D610" s="2" t="str">
        <f t="shared" si="2"/>
        <v>Monterrey</v>
      </c>
      <c r="E610" s="2" t="s">
        <v>88</v>
      </c>
      <c r="F610" s="2" t="str">
        <f>IFERROR(__xludf.DUMMYFUNCTION("SPLIT(E610, ""-"")"),"Laptop")</f>
        <v>Laptop</v>
      </c>
      <c r="G610" s="2" t="str">
        <f>IFERROR(__xludf.DUMMYFUNCTION("""COMPUTED_VALUE"""),"Gaming")</f>
        <v>Gaming</v>
      </c>
      <c r="H610" s="2" t="str">
        <f>IFERROR(__xludf.DUMMYFUNCTION("""COMPUTED_VALUE"""),"32GB")</f>
        <v>32GB</v>
      </c>
      <c r="I610" s="17">
        <v>842.36</v>
      </c>
      <c r="J610" s="6">
        <v>5.0</v>
      </c>
      <c r="K610" s="17">
        <v>4211.8</v>
      </c>
      <c r="L610" s="2" t="s">
        <v>1900</v>
      </c>
      <c r="M610" s="2" t="s">
        <v>1901</v>
      </c>
      <c r="N610" s="2" t="s">
        <v>1902</v>
      </c>
    </row>
    <row r="611" ht="15.75" customHeight="1">
      <c r="A611" s="18">
        <v>45643.0</v>
      </c>
      <c r="B611" s="16" t="str">
        <f t="shared" si="1"/>
        <v>December</v>
      </c>
      <c r="C611" s="2" t="s">
        <v>74</v>
      </c>
      <c r="D611" s="2" t="str">
        <f t="shared" si="2"/>
        <v>Cali</v>
      </c>
      <c r="E611" s="2" t="s">
        <v>662</v>
      </c>
      <c r="F611" s="2" t="str">
        <f>IFERROR(__xludf.DUMMYFUNCTION("SPLIT(E611, ""-"")"),"Auriculares")</f>
        <v>Auriculares</v>
      </c>
      <c r="G611" s="2" t="str">
        <f>IFERROR(__xludf.DUMMYFUNCTION("""COMPUTED_VALUE"""),"Cancelación de ruido")</f>
        <v>Cancelación de ruido</v>
      </c>
      <c r="H611" s="2" t="str">
        <f>IFERROR(__xludf.DUMMYFUNCTION("""COMPUTED_VALUE"""),"32GB")</f>
        <v>32GB</v>
      </c>
      <c r="I611" s="17">
        <v>1771.25</v>
      </c>
      <c r="J611" s="6">
        <v>4.0</v>
      </c>
      <c r="K611" s="17">
        <v>7085.0</v>
      </c>
      <c r="L611" s="2" t="s">
        <v>1903</v>
      </c>
      <c r="M611" s="2" t="s">
        <v>1904</v>
      </c>
      <c r="N611" s="2" t="s">
        <v>1905</v>
      </c>
    </row>
    <row r="612" ht="15.75" customHeight="1">
      <c r="A612" s="18">
        <v>45643.0</v>
      </c>
      <c r="B612" s="16" t="str">
        <f t="shared" si="1"/>
        <v>December</v>
      </c>
      <c r="C612" s="2" t="s">
        <v>74</v>
      </c>
      <c r="D612" s="2" t="str">
        <f t="shared" si="2"/>
        <v>Cali</v>
      </c>
      <c r="E612" s="2" t="s">
        <v>92</v>
      </c>
      <c r="F612" s="2" t="str">
        <f>IFERROR(__xludf.DUMMYFUNCTION("SPLIT(E612, ""-"")"),"Tablet")</f>
        <v>Tablet</v>
      </c>
      <c r="G612" s="2" t="str">
        <f>IFERROR(__xludf.DUMMYFUNCTION("""COMPUTED_VALUE"""),"Mini")</f>
        <v>Mini</v>
      </c>
      <c r="H612" s="2" t="str">
        <f>IFERROR(__xludf.DUMMYFUNCTION("""COMPUTED_VALUE"""),"8GB")</f>
        <v>8GB</v>
      </c>
      <c r="I612" s="17">
        <v>1865.58</v>
      </c>
      <c r="J612" s="6">
        <v>2.0</v>
      </c>
      <c r="K612" s="17">
        <v>3731.16</v>
      </c>
      <c r="L612" s="2" t="s">
        <v>1906</v>
      </c>
      <c r="M612" s="2" t="s">
        <v>1907</v>
      </c>
      <c r="N612" s="2" t="s">
        <v>1908</v>
      </c>
    </row>
    <row r="613" ht="15.75" customHeight="1">
      <c r="A613" s="18">
        <v>45643.0</v>
      </c>
      <c r="B613" s="16" t="str">
        <f t="shared" si="1"/>
        <v>December</v>
      </c>
      <c r="C613" s="2" t="s">
        <v>14</v>
      </c>
      <c r="D613" s="2" t="str">
        <f t="shared" si="2"/>
        <v>Bogotá</v>
      </c>
      <c r="E613" s="2" t="s">
        <v>161</v>
      </c>
      <c r="F613" s="2" t="str">
        <f>IFERROR(__xludf.DUMMYFUNCTION("SPLIT(E613, ""-"")"),"Laptop")</f>
        <v>Laptop</v>
      </c>
      <c r="G613" s="2" t="str">
        <f>IFERROR(__xludf.DUMMYFUNCTION("""COMPUTED_VALUE"""),"Oficina")</f>
        <v>Oficina</v>
      </c>
      <c r="H613" s="2" t="str">
        <f>IFERROR(__xludf.DUMMYFUNCTION("""COMPUTED_VALUE"""),"32GB")</f>
        <v>32GB</v>
      </c>
      <c r="I613" s="17">
        <v>1615.07</v>
      </c>
      <c r="J613" s="6">
        <v>3.0</v>
      </c>
      <c r="K613" s="17">
        <v>4845.21</v>
      </c>
      <c r="L613" s="2" t="s">
        <v>1909</v>
      </c>
      <c r="M613" s="2" t="s">
        <v>1910</v>
      </c>
      <c r="N613" s="2" t="s">
        <v>1911</v>
      </c>
    </row>
    <row r="614" ht="15.75" customHeight="1">
      <c r="A614" s="18">
        <v>45643.0</v>
      </c>
      <c r="B614" s="16" t="str">
        <f t="shared" si="1"/>
        <v>December</v>
      </c>
      <c r="C614" s="2" t="s">
        <v>74</v>
      </c>
      <c r="D614" s="2" t="str">
        <f t="shared" si="2"/>
        <v>Cali</v>
      </c>
      <c r="E614" s="2" t="s">
        <v>386</v>
      </c>
      <c r="F614" s="2" t="str">
        <f>IFERROR(__xludf.DUMMYFUNCTION("SPLIT(E614, ""-"")"),"Auriculares")</f>
        <v>Auriculares</v>
      </c>
      <c r="G614" s="2" t="str">
        <f>IFERROR(__xludf.DUMMYFUNCTION("""COMPUTED_VALUE"""),"Cancelación de ruido")</f>
        <v>Cancelación de ruido</v>
      </c>
      <c r="H614" s="2" t="str">
        <f>IFERROR(__xludf.DUMMYFUNCTION("""COMPUTED_VALUE"""),"4GB")</f>
        <v>4GB</v>
      </c>
      <c r="I614" s="17">
        <v>1627.59</v>
      </c>
      <c r="J614" s="6">
        <v>1.0</v>
      </c>
      <c r="K614" s="17">
        <v>1627.59</v>
      </c>
      <c r="L614" s="2" t="s">
        <v>1912</v>
      </c>
      <c r="M614" s="2" t="s">
        <v>1913</v>
      </c>
      <c r="N614" s="2" t="s">
        <v>1914</v>
      </c>
    </row>
    <row r="615" ht="15.75" customHeight="1">
      <c r="A615" s="18">
        <v>45643.0</v>
      </c>
      <c r="B615" s="16" t="str">
        <f t="shared" si="1"/>
        <v>December</v>
      </c>
      <c r="C615" s="2" t="s">
        <v>74</v>
      </c>
      <c r="D615" s="2" t="str">
        <f t="shared" si="2"/>
        <v>Cali</v>
      </c>
      <c r="E615" s="2" t="s">
        <v>427</v>
      </c>
      <c r="F615" s="2" t="str">
        <f>IFERROR(__xludf.DUMMYFUNCTION("SPLIT(E615, ""-"")"),"Teléfono")</f>
        <v>Teléfono</v>
      </c>
      <c r="G615" s="2" t="str">
        <f>IFERROR(__xludf.DUMMYFUNCTION("""COMPUTED_VALUE"""),"Gama alta")</f>
        <v>Gama alta</v>
      </c>
      <c r="H615" s="2" t="str">
        <f>IFERROR(__xludf.DUMMYFUNCTION("""COMPUTED_VALUE"""),"4GB")</f>
        <v>4GB</v>
      </c>
      <c r="I615" s="17">
        <v>1700.41</v>
      </c>
      <c r="J615" s="6">
        <v>4.0</v>
      </c>
      <c r="K615" s="17">
        <v>6801.64</v>
      </c>
      <c r="L615" s="2" t="s">
        <v>1915</v>
      </c>
      <c r="M615" s="2" t="s">
        <v>1916</v>
      </c>
      <c r="N615" s="2" t="s">
        <v>1917</v>
      </c>
    </row>
    <row r="616" ht="15.75" customHeight="1">
      <c r="A616" s="18">
        <v>45643.0</v>
      </c>
      <c r="B616" s="16" t="str">
        <f t="shared" si="1"/>
        <v>December</v>
      </c>
      <c r="C616" s="3" t="s">
        <v>29</v>
      </c>
      <c r="D616" s="2" t="str">
        <f t="shared" si="2"/>
        <v>Ciudad De Mexico</v>
      </c>
      <c r="E616" s="2" t="s">
        <v>151</v>
      </c>
      <c r="F616" s="2" t="str">
        <f>IFERROR(__xludf.DUMMYFUNCTION("SPLIT(E616, ""-"")"),"Laptop")</f>
        <v>Laptop</v>
      </c>
      <c r="G616" s="2" t="str">
        <f>IFERROR(__xludf.DUMMYFUNCTION("""COMPUTED_VALUE"""),"Gaming")</f>
        <v>Gaming</v>
      </c>
      <c r="H616" s="2" t="str">
        <f>IFERROR(__xludf.DUMMYFUNCTION("""COMPUTED_VALUE"""),"8GB")</f>
        <v>8GB</v>
      </c>
      <c r="I616" s="17">
        <v>1035.07</v>
      </c>
      <c r="J616" s="6">
        <v>1.0</v>
      </c>
      <c r="K616" s="17">
        <v>1035.07</v>
      </c>
      <c r="L616" s="2" t="s">
        <v>1918</v>
      </c>
      <c r="M616" s="2" t="s">
        <v>1919</v>
      </c>
      <c r="N616" s="2" t="s">
        <v>1920</v>
      </c>
    </row>
    <row r="617" ht="15.75" customHeight="1">
      <c r="A617" s="18">
        <v>45643.0</v>
      </c>
      <c r="B617" s="16" t="str">
        <f t="shared" si="1"/>
        <v>December</v>
      </c>
      <c r="C617" s="2" t="s">
        <v>74</v>
      </c>
      <c r="D617" s="2" t="str">
        <f t="shared" si="2"/>
        <v>Cali</v>
      </c>
      <c r="E617" s="2" t="s">
        <v>396</v>
      </c>
      <c r="F617" s="2" t="str">
        <f>IFERROR(__xludf.DUMMYFUNCTION("SPLIT(E617, ""-"")"),"Laptop")</f>
        <v>Laptop</v>
      </c>
      <c r="G617" s="2" t="str">
        <f>IFERROR(__xludf.DUMMYFUNCTION("""COMPUTED_VALUE"""),"Gaming")</f>
        <v>Gaming</v>
      </c>
      <c r="H617" s="2" t="str">
        <f>IFERROR(__xludf.DUMMYFUNCTION("""COMPUTED_VALUE"""),"4GB")</f>
        <v>4GB</v>
      </c>
      <c r="I617" s="17">
        <v>771.57</v>
      </c>
      <c r="J617" s="6">
        <v>5.0</v>
      </c>
      <c r="K617" s="17">
        <v>3857.85</v>
      </c>
      <c r="L617" s="2" t="s">
        <v>1921</v>
      </c>
      <c r="M617" s="2" t="s">
        <v>1922</v>
      </c>
      <c r="N617" s="2" t="s">
        <v>1923</v>
      </c>
    </row>
    <row r="618" ht="15.75" customHeight="1">
      <c r="A618" s="18">
        <v>45643.0</v>
      </c>
      <c r="B618" s="16" t="str">
        <f t="shared" si="1"/>
        <v>December</v>
      </c>
      <c r="C618" s="2" t="s">
        <v>14</v>
      </c>
      <c r="D618" s="2" t="str">
        <f t="shared" si="2"/>
        <v>Bogotá</v>
      </c>
      <c r="E618" s="2" t="s">
        <v>308</v>
      </c>
      <c r="F618" s="2" t="str">
        <f>IFERROR(__xludf.DUMMYFUNCTION("SPLIT(E618, ""-"")"),"Laptop")</f>
        <v>Laptop</v>
      </c>
      <c r="G618" s="2" t="str">
        <f>IFERROR(__xludf.DUMMYFUNCTION("""COMPUTED_VALUE"""),"Ultraliviana")</f>
        <v>Ultraliviana</v>
      </c>
      <c r="H618" s="2" t="str">
        <f>IFERROR(__xludf.DUMMYFUNCTION("""COMPUTED_VALUE"""),"32GB")</f>
        <v>32GB</v>
      </c>
      <c r="I618" s="17">
        <v>1698.28</v>
      </c>
      <c r="J618" s="6">
        <v>3.0</v>
      </c>
      <c r="K618" s="17">
        <v>5094.84</v>
      </c>
      <c r="L618" s="2" t="s">
        <v>1924</v>
      </c>
      <c r="M618" s="2" t="s">
        <v>1925</v>
      </c>
      <c r="N618" s="2" t="s">
        <v>1926</v>
      </c>
    </row>
    <row r="619" ht="15.75" customHeight="1">
      <c r="A619" s="18">
        <v>45644.0</v>
      </c>
      <c r="B619" s="16" t="str">
        <f t="shared" si="1"/>
        <v>December</v>
      </c>
      <c r="C619" s="2" t="s">
        <v>14</v>
      </c>
      <c r="D619" s="2" t="str">
        <f t="shared" si="2"/>
        <v>Bogotá</v>
      </c>
      <c r="E619" s="2" t="s">
        <v>187</v>
      </c>
      <c r="F619" s="2" t="str">
        <f>IFERROR(__xludf.DUMMYFUNCTION("SPLIT(E619, ""-"")"),"Laptop")</f>
        <v>Laptop</v>
      </c>
      <c r="G619" s="2" t="str">
        <f>IFERROR(__xludf.DUMMYFUNCTION("""COMPUTED_VALUE"""),"Ultraliviana")</f>
        <v>Ultraliviana</v>
      </c>
      <c r="H619" s="2" t="str">
        <f>IFERROR(__xludf.DUMMYFUNCTION("""COMPUTED_VALUE"""),"16GB")</f>
        <v>16GB</v>
      </c>
      <c r="I619" s="17">
        <v>602.68</v>
      </c>
      <c r="J619" s="6">
        <v>3.0</v>
      </c>
      <c r="K619" s="17">
        <v>1808.04</v>
      </c>
      <c r="L619" s="2" t="s">
        <v>1927</v>
      </c>
      <c r="M619" s="2" t="s">
        <v>1928</v>
      </c>
      <c r="N619" s="2" t="s">
        <v>1929</v>
      </c>
    </row>
    <row r="620" ht="15.75" customHeight="1">
      <c r="A620" s="18">
        <v>45644.0</v>
      </c>
      <c r="B620" s="16" t="str">
        <f t="shared" si="1"/>
        <v>December</v>
      </c>
      <c r="C620" s="2" t="s">
        <v>34</v>
      </c>
      <c r="D620" s="2" t="str">
        <f t="shared" si="2"/>
        <v>Medellín</v>
      </c>
      <c r="E620" s="2" t="s">
        <v>222</v>
      </c>
      <c r="F620" s="2" t="str">
        <f>IFERROR(__xludf.DUMMYFUNCTION("SPLIT(E620, ""-"")"),"Laptop")</f>
        <v>Laptop</v>
      </c>
      <c r="G620" s="2" t="str">
        <f>IFERROR(__xludf.DUMMYFUNCTION("""COMPUTED_VALUE"""),"Gaming")</f>
        <v>Gaming</v>
      </c>
      <c r="H620" s="2" t="str">
        <f>IFERROR(__xludf.DUMMYFUNCTION("""COMPUTED_VALUE"""),"16GB")</f>
        <v>16GB</v>
      </c>
      <c r="I620" s="17">
        <v>1096.28</v>
      </c>
      <c r="J620" s="6">
        <v>3.0</v>
      </c>
      <c r="K620" s="17">
        <v>3288.84</v>
      </c>
      <c r="L620" s="2" t="s">
        <v>1930</v>
      </c>
      <c r="M620" s="2" t="s">
        <v>1931</v>
      </c>
      <c r="N620" s="2" t="s">
        <v>1932</v>
      </c>
    </row>
    <row r="621" ht="15.75" customHeight="1">
      <c r="A621" s="18">
        <v>45644.0</v>
      </c>
      <c r="B621" s="16" t="str">
        <f t="shared" si="1"/>
        <v>December</v>
      </c>
      <c r="C621" s="2" t="s">
        <v>9</v>
      </c>
      <c r="D621" s="2" t="str">
        <f t="shared" si="2"/>
        <v>Monterrey</v>
      </c>
      <c r="E621" s="2" t="s">
        <v>187</v>
      </c>
      <c r="F621" s="2" t="str">
        <f>IFERROR(__xludf.DUMMYFUNCTION("SPLIT(E621, ""-"")"),"Laptop")</f>
        <v>Laptop</v>
      </c>
      <c r="G621" s="2" t="str">
        <f>IFERROR(__xludf.DUMMYFUNCTION("""COMPUTED_VALUE"""),"Ultraliviana")</f>
        <v>Ultraliviana</v>
      </c>
      <c r="H621" s="2" t="str">
        <f>IFERROR(__xludf.DUMMYFUNCTION("""COMPUTED_VALUE"""),"16GB")</f>
        <v>16GB</v>
      </c>
      <c r="I621" s="17">
        <v>2030.62</v>
      </c>
      <c r="J621" s="6">
        <v>2.0</v>
      </c>
      <c r="K621" s="17">
        <v>4061.24</v>
      </c>
      <c r="L621" s="2" t="s">
        <v>1933</v>
      </c>
      <c r="M621" s="2" t="s">
        <v>1934</v>
      </c>
      <c r="N621" s="2" t="s">
        <v>1935</v>
      </c>
    </row>
    <row r="622" ht="15.75" customHeight="1">
      <c r="A622" s="18">
        <v>45644.0</v>
      </c>
      <c r="B622" s="16" t="str">
        <f t="shared" si="1"/>
        <v>December</v>
      </c>
      <c r="C622" s="2" t="s">
        <v>9</v>
      </c>
      <c r="D622" s="2" t="str">
        <f t="shared" si="2"/>
        <v>Monterrey</v>
      </c>
      <c r="E622" s="2" t="s">
        <v>289</v>
      </c>
      <c r="F622" s="2" t="str">
        <f>IFERROR(__xludf.DUMMYFUNCTION("SPLIT(E622, ""-"")"),"Teléfono")</f>
        <v>Teléfono</v>
      </c>
      <c r="G622" s="2" t="str">
        <f>IFERROR(__xludf.DUMMYFUNCTION("""COMPUTED_VALUE"""),"Gama alta")</f>
        <v>Gama alta</v>
      </c>
      <c r="H622" s="2" t="str">
        <f>IFERROR(__xludf.DUMMYFUNCTION("""COMPUTED_VALUE"""),"16GB")</f>
        <v>16GB</v>
      </c>
      <c r="I622" s="17">
        <v>1405.61</v>
      </c>
      <c r="J622" s="6">
        <v>5.0</v>
      </c>
      <c r="K622" s="17">
        <v>7028.05</v>
      </c>
      <c r="L622" s="2" t="s">
        <v>1936</v>
      </c>
      <c r="M622" s="2" t="s">
        <v>1937</v>
      </c>
      <c r="N622" s="2" t="s">
        <v>1938</v>
      </c>
    </row>
    <row r="623" ht="15.75" customHeight="1">
      <c r="A623" s="18">
        <v>45644.0</v>
      </c>
      <c r="B623" s="16" t="str">
        <f t="shared" si="1"/>
        <v>December</v>
      </c>
      <c r="C623" s="2" t="s">
        <v>34</v>
      </c>
      <c r="D623" s="2" t="str">
        <f t="shared" si="2"/>
        <v>Medellín</v>
      </c>
      <c r="E623" s="2" t="s">
        <v>70</v>
      </c>
      <c r="F623" s="2" t="str">
        <f>IFERROR(__xludf.DUMMYFUNCTION("SPLIT(E623, ""-"")"),"Auriculares")</f>
        <v>Auriculares</v>
      </c>
      <c r="G623" s="2" t="str">
        <f>IFERROR(__xludf.DUMMYFUNCTION("""COMPUTED_VALUE"""),"Bluetooth")</f>
        <v>Bluetooth</v>
      </c>
      <c r="H623" s="2" t="str">
        <f>IFERROR(__xludf.DUMMYFUNCTION("""COMPUTED_VALUE"""),"16GB")</f>
        <v>16GB</v>
      </c>
      <c r="I623" s="17">
        <v>564.58</v>
      </c>
      <c r="J623" s="6">
        <v>4.0</v>
      </c>
      <c r="K623" s="17">
        <v>2258.32</v>
      </c>
      <c r="L623" s="2" t="s">
        <v>1939</v>
      </c>
      <c r="M623" s="2" t="s">
        <v>1940</v>
      </c>
      <c r="N623" s="2" t="s">
        <v>1941</v>
      </c>
    </row>
    <row r="624" ht="15.75" customHeight="1">
      <c r="A624" s="18">
        <v>45644.0</v>
      </c>
      <c r="B624" s="16" t="str">
        <f t="shared" si="1"/>
        <v>December</v>
      </c>
      <c r="C624" s="2" t="s">
        <v>57</v>
      </c>
      <c r="D624" s="2" t="str">
        <f t="shared" si="2"/>
        <v>Guadalajara</v>
      </c>
      <c r="E624" s="2" t="s">
        <v>187</v>
      </c>
      <c r="F624" s="2" t="str">
        <f>IFERROR(__xludf.DUMMYFUNCTION("SPLIT(E624, ""-"")"),"Laptop")</f>
        <v>Laptop</v>
      </c>
      <c r="G624" s="2" t="str">
        <f>IFERROR(__xludf.DUMMYFUNCTION("""COMPUTED_VALUE"""),"Ultraliviana")</f>
        <v>Ultraliviana</v>
      </c>
      <c r="H624" s="2" t="str">
        <f>IFERROR(__xludf.DUMMYFUNCTION("""COMPUTED_VALUE"""),"16GB")</f>
        <v>16GB</v>
      </c>
      <c r="I624" s="17">
        <v>2310.61</v>
      </c>
      <c r="J624" s="6">
        <v>3.0</v>
      </c>
      <c r="K624" s="17">
        <v>6931.83</v>
      </c>
      <c r="L624" s="2" t="s">
        <v>1942</v>
      </c>
      <c r="M624" s="2" t="s">
        <v>1943</v>
      </c>
      <c r="N624" s="2" t="s">
        <v>1944</v>
      </c>
    </row>
    <row r="625" ht="15.75" customHeight="1">
      <c r="A625" s="18">
        <v>45644.0</v>
      </c>
      <c r="B625" s="16" t="str">
        <f t="shared" si="1"/>
        <v>December</v>
      </c>
      <c r="C625" s="2" t="s">
        <v>9</v>
      </c>
      <c r="D625" s="2" t="str">
        <f t="shared" si="2"/>
        <v>Monterrey</v>
      </c>
      <c r="E625" s="2" t="s">
        <v>366</v>
      </c>
      <c r="F625" s="2" t="str">
        <f>IFERROR(__xludf.DUMMYFUNCTION("SPLIT(E625, ""-"")"),"Auriculares")</f>
        <v>Auriculares</v>
      </c>
      <c r="G625" s="2" t="str">
        <f>IFERROR(__xludf.DUMMYFUNCTION("""COMPUTED_VALUE"""),"Con cable")</f>
        <v>Con cable</v>
      </c>
      <c r="H625" s="2" t="str">
        <f>IFERROR(__xludf.DUMMYFUNCTION("""COMPUTED_VALUE"""),"4GB")</f>
        <v>4GB</v>
      </c>
      <c r="I625" s="17">
        <v>2425.55</v>
      </c>
      <c r="J625" s="6">
        <v>3.0</v>
      </c>
      <c r="K625" s="17">
        <v>7276.65</v>
      </c>
      <c r="L625" s="2" t="s">
        <v>1945</v>
      </c>
      <c r="M625" s="2" t="s">
        <v>1946</v>
      </c>
      <c r="N625" s="2" t="s">
        <v>1947</v>
      </c>
    </row>
    <row r="626" ht="15.75" customHeight="1">
      <c r="A626" s="18">
        <v>45644.0</v>
      </c>
      <c r="B626" s="16" t="str">
        <f t="shared" si="1"/>
        <v>December</v>
      </c>
      <c r="C626" s="2" t="s">
        <v>34</v>
      </c>
      <c r="D626" s="2" t="str">
        <f t="shared" si="2"/>
        <v>Medellín</v>
      </c>
      <c r="E626" s="2" t="s">
        <v>83</v>
      </c>
      <c r="F626" s="2" t="str">
        <f>IFERROR(__xludf.DUMMYFUNCTION("SPLIT(E626, ""-"")"),"Teléfono")</f>
        <v>Teléfono</v>
      </c>
      <c r="G626" s="2" t="str">
        <f>IFERROR(__xludf.DUMMYFUNCTION("""COMPUTED_VALUE"""),"Gama media")</f>
        <v>Gama media</v>
      </c>
      <c r="H626" s="2" t="str">
        <f>IFERROR(__xludf.DUMMYFUNCTION("""COMPUTED_VALUE"""),"32GB")</f>
        <v>32GB</v>
      </c>
      <c r="I626" s="17">
        <v>944.98</v>
      </c>
      <c r="J626" s="6">
        <v>1.0</v>
      </c>
      <c r="K626" s="17">
        <v>944.98</v>
      </c>
      <c r="L626" s="2" t="s">
        <v>1948</v>
      </c>
      <c r="M626" s="2" t="s">
        <v>1949</v>
      </c>
      <c r="N626" s="2" t="s">
        <v>1950</v>
      </c>
    </row>
    <row r="627" ht="15.75" customHeight="1">
      <c r="A627" s="18">
        <v>45644.0</v>
      </c>
      <c r="B627" s="16" t="str">
        <f t="shared" si="1"/>
        <v>December</v>
      </c>
      <c r="C627" s="2" t="s">
        <v>14</v>
      </c>
      <c r="D627" s="2" t="str">
        <f t="shared" si="2"/>
        <v>Bogotá</v>
      </c>
      <c r="E627" s="2" t="s">
        <v>316</v>
      </c>
      <c r="F627" s="2" t="str">
        <f>IFERROR(__xludf.DUMMYFUNCTION("SPLIT(E627, ""-"")"),"Tablet")</f>
        <v>Tablet</v>
      </c>
      <c r="G627" s="2" t="str">
        <f>IFERROR(__xludf.DUMMYFUNCTION("""COMPUTED_VALUE"""),"Pro")</f>
        <v>Pro</v>
      </c>
      <c r="H627" s="2" t="str">
        <f>IFERROR(__xludf.DUMMYFUNCTION("""COMPUTED_VALUE"""),"32GB")</f>
        <v>32GB</v>
      </c>
      <c r="I627" s="17">
        <v>1876.74</v>
      </c>
      <c r="J627" s="6">
        <v>3.0</v>
      </c>
      <c r="K627" s="17">
        <v>5630.22</v>
      </c>
      <c r="L627" s="2" t="s">
        <v>1951</v>
      </c>
      <c r="M627" s="2" t="s">
        <v>1952</v>
      </c>
      <c r="N627" s="2" t="s">
        <v>1953</v>
      </c>
    </row>
    <row r="628" ht="15.75" customHeight="1">
      <c r="A628" s="18">
        <v>45644.0</v>
      </c>
      <c r="B628" s="16" t="str">
        <f t="shared" si="1"/>
        <v>December</v>
      </c>
      <c r="C628" s="2" t="s">
        <v>9</v>
      </c>
      <c r="D628" s="2" t="str">
        <f t="shared" si="2"/>
        <v>Monterrey</v>
      </c>
      <c r="E628" s="2" t="s">
        <v>187</v>
      </c>
      <c r="F628" s="2" t="str">
        <f>IFERROR(__xludf.DUMMYFUNCTION("SPLIT(E628, ""-"")"),"Laptop")</f>
        <v>Laptop</v>
      </c>
      <c r="G628" s="2" t="str">
        <f>IFERROR(__xludf.DUMMYFUNCTION("""COMPUTED_VALUE"""),"Ultraliviana")</f>
        <v>Ultraliviana</v>
      </c>
      <c r="H628" s="2" t="str">
        <f>IFERROR(__xludf.DUMMYFUNCTION("""COMPUTED_VALUE"""),"16GB")</f>
        <v>16GB</v>
      </c>
      <c r="I628" s="17">
        <v>2031.79</v>
      </c>
      <c r="J628" s="6">
        <v>5.0</v>
      </c>
      <c r="K628" s="17">
        <v>10158.95</v>
      </c>
      <c r="L628" s="2" t="s">
        <v>1954</v>
      </c>
      <c r="M628" s="2" t="s">
        <v>1955</v>
      </c>
      <c r="N628" s="2" t="s">
        <v>1956</v>
      </c>
    </row>
    <row r="629" ht="15.75" customHeight="1">
      <c r="A629" s="18">
        <v>45644.0</v>
      </c>
      <c r="B629" s="16" t="str">
        <f t="shared" si="1"/>
        <v>December</v>
      </c>
      <c r="C629" s="2" t="s">
        <v>57</v>
      </c>
      <c r="D629" s="2" t="str">
        <f t="shared" si="2"/>
        <v>Guadalajara</v>
      </c>
      <c r="E629" s="2" t="s">
        <v>183</v>
      </c>
      <c r="F629" s="2" t="str">
        <f>IFERROR(__xludf.DUMMYFUNCTION("SPLIT(E629, ""-"")"),"Auriculares")</f>
        <v>Auriculares</v>
      </c>
      <c r="G629" s="2" t="str">
        <f>IFERROR(__xludf.DUMMYFUNCTION("""COMPUTED_VALUE"""),"Cancelaci√≥n de ruido")</f>
        <v>Cancelaci√≥n de ruido</v>
      </c>
      <c r="H629" s="2" t="str">
        <f>IFERROR(__xludf.DUMMYFUNCTION("""COMPUTED_VALUE"""),"16GB")</f>
        <v>16GB</v>
      </c>
      <c r="I629" s="17">
        <v>1031.51</v>
      </c>
      <c r="J629" s="6">
        <v>1.0</v>
      </c>
      <c r="K629" s="17">
        <v>1031.51</v>
      </c>
      <c r="L629" s="2" t="s">
        <v>1957</v>
      </c>
      <c r="M629" s="2" t="s">
        <v>1958</v>
      </c>
      <c r="N629" s="2" t="s">
        <v>1959</v>
      </c>
    </row>
    <row r="630" ht="15.75" customHeight="1">
      <c r="A630" s="18">
        <v>45644.0</v>
      </c>
      <c r="B630" s="16" t="str">
        <f t="shared" si="1"/>
        <v>December</v>
      </c>
      <c r="C630" s="2" t="s">
        <v>74</v>
      </c>
      <c r="D630" s="2" t="str">
        <f t="shared" si="2"/>
        <v>Cali</v>
      </c>
      <c r="E630" s="2" t="s">
        <v>215</v>
      </c>
      <c r="F630" s="2" t="str">
        <f>IFERROR(__xludf.DUMMYFUNCTION("SPLIT(E630, ""-"")"),"Teléfono")</f>
        <v>Teléfono</v>
      </c>
      <c r="G630" s="2" t="str">
        <f>IFERROR(__xludf.DUMMYFUNCTION("""COMPUTED_VALUE"""),"Gama media")</f>
        <v>Gama media</v>
      </c>
      <c r="H630" s="2" t="str">
        <f>IFERROR(__xludf.DUMMYFUNCTION("""COMPUTED_VALUE"""),"4GB")</f>
        <v>4GB</v>
      </c>
      <c r="I630" s="17">
        <v>879.04</v>
      </c>
      <c r="J630" s="6">
        <v>2.0</v>
      </c>
      <c r="K630" s="17">
        <v>1758.08</v>
      </c>
      <c r="L630" s="2" t="s">
        <v>1960</v>
      </c>
      <c r="M630" s="2" t="s">
        <v>1961</v>
      </c>
      <c r="N630" s="2" t="s">
        <v>1962</v>
      </c>
    </row>
    <row r="631" ht="15.75" customHeight="1">
      <c r="A631" s="18">
        <v>45644.0</v>
      </c>
      <c r="B631" s="16" t="str">
        <f t="shared" si="1"/>
        <v>December</v>
      </c>
      <c r="C631" s="2" t="s">
        <v>34</v>
      </c>
      <c r="D631" s="2" t="str">
        <f t="shared" si="2"/>
        <v>Medellín</v>
      </c>
      <c r="E631" s="2" t="s">
        <v>15</v>
      </c>
      <c r="F631" s="2" t="str">
        <f>IFERROR(__xludf.DUMMYFUNCTION("SPLIT(E631, ""-"")"),"Auriculares")</f>
        <v>Auriculares</v>
      </c>
      <c r="G631" s="2" t="str">
        <f>IFERROR(__xludf.DUMMYFUNCTION("""COMPUTED_VALUE"""),"Con cable")</f>
        <v>Con cable</v>
      </c>
      <c r="H631" s="2" t="str">
        <f>IFERROR(__xludf.DUMMYFUNCTION("""COMPUTED_VALUE"""),"32GB")</f>
        <v>32GB</v>
      </c>
      <c r="I631" s="17">
        <v>292.99</v>
      </c>
      <c r="J631" s="6">
        <v>1.0</v>
      </c>
      <c r="K631" s="17">
        <v>292.99</v>
      </c>
      <c r="L631" s="2" t="s">
        <v>1963</v>
      </c>
      <c r="M631" s="2" t="s">
        <v>1964</v>
      </c>
      <c r="N631" s="2" t="s">
        <v>1965</v>
      </c>
    </row>
    <row r="632" ht="15.75" customHeight="1">
      <c r="A632" s="18">
        <v>45645.0</v>
      </c>
      <c r="B632" s="16" t="str">
        <f t="shared" si="1"/>
        <v>December</v>
      </c>
      <c r="C632" s="2" t="s">
        <v>14</v>
      </c>
      <c r="D632" s="2" t="str">
        <f t="shared" si="2"/>
        <v>Bogotá</v>
      </c>
      <c r="E632" s="2" t="s">
        <v>187</v>
      </c>
      <c r="F632" s="2" t="str">
        <f>IFERROR(__xludf.DUMMYFUNCTION("SPLIT(E632, ""-"")"),"Laptop")</f>
        <v>Laptop</v>
      </c>
      <c r="G632" s="2" t="str">
        <f>IFERROR(__xludf.DUMMYFUNCTION("""COMPUTED_VALUE"""),"Ultraliviana")</f>
        <v>Ultraliviana</v>
      </c>
      <c r="H632" s="2" t="str">
        <f>IFERROR(__xludf.DUMMYFUNCTION("""COMPUTED_VALUE"""),"16GB")</f>
        <v>16GB</v>
      </c>
      <c r="I632" s="17">
        <v>1575.85</v>
      </c>
      <c r="J632" s="6">
        <v>2.0</v>
      </c>
      <c r="K632" s="17">
        <v>3151.7</v>
      </c>
      <c r="L632" s="2" t="s">
        <v>1966</v>
      </c>
      <c r="M632" s="2" t="s">
        <v>1967</v>
      </c>
      <c r="N632" s="2" t="s">
        <v>1968</v>
      </c>
    </row>
    <row r="633" ht="15.75" customHeight="1">
      <c r="A633" s="18">
        <v>45645.0</v>
      </c>
      <c r="B633" s="16" t="str">
        <f t="shared" si="1"/>
        <v>December</v>
      </c>
      <c r="C633" s="2" t="s">
        <v>34</v>
      </c>
      <c r="D633" s="2" t="str">
        <f t="shared" si="2"/>
        <v>Medellín</v>
      </c>
      <c r="E633" s="2" t="s">
        <v>130</v>
      </c>
      <c r="F633" s="2" t="str">
        <f>IFERROR(__xludf.DUMMYFUNCTION("SPLIT(E633, ""-"")"),"Tablet")</f>
        <v>Tablet</v>
      </c>
      <c r="G633" s="2" t="str">
        <f>IFERROR(__xludf.DUMMYFUNCTION("""COMPUTED_VALUE"""),"Pro")</f>
        <v>Pro</v>
      </c>
      <c r="H633" s="2" t="str">
        <f>IFERROR(__xludf.DUMMYFUNCTION("""COMPUTED_VALUE"""),"8GB")</f>
        <v>8GB</v>
      </c>
      <c r="I633" s="17">
        <v>720.31</v>
      </c>
      <c r="J633" s="6">
        <v>3.0</v>
      </c>
      <c r="K633" s="17">
        <v>2160.93</v>
      </c>
      <c r="L633" s="2" t="s">
        <v>1969</v>
      </c>
      <c r="M633" s="2" t="s">
        <v>1970</v>
      </c>
      <c r="N633" s="2" t="s">
        <v>1971</v>
      </c>
    </row>
    <row r="634" ht="15.75" customHeight="1">
      <c r="A634" s="18">
        <v>45645.0</v>
      </c>
      <c r="B634" s="16" t="str">
        <f t="shared" si="1"/>
        <v>December</v>
      </c>
      <c r="C634" s="2" t="s">
        <v>34</v>
      </c>
      <c r="D634" s="2" t="str">
        <f t="shared" si="2"/>
        <v>Medellín</v>
      </c>
      <c r="E634" s="2" t="s">
        <v>70</v>
      </c>
      <c r="F634" s="2" t="str">
        <f>IFERROR(__xludf.DUMMYFUNCTION("SPLIT(E634, ""-"")"),"Auriculares")</f>
        <v>Auriculares</v>
      </c>
      <c r="G634" s="2" t="str">
        <f>IFERROR(__xludf.DUMMYFUNCTION("""COMPUTED_VALUE"""),"Bluetooth")</f>
        <v>Bluetooth</v>
      </c>
      <c r="H634" s="2" t="str">
        <f>IFERROR(__xludf.DUMMYFUNCTION("""COMPUTED_VALUE"""),"16GB")</f>
        <v>16GB</v>
      </c>
      <c r="I634" s="17">
        <v>2309.76</v>
      </c>
      <c r="J634" s="6">
        <v>5.0</v>
      </c>
      <c r="K634" s="17">
        <v>11548.8</v>
      </c>
      <c r="L634" s="2" t="s">
        <v>1972</v>
      </c>
      <c r="M634" s="2" t="s">
        <v>1973</v>
      </c>
      <c r="N634" s="2" t="s">
        <v>1974</v>
      </c>
    </row>
    <row r="635" ht="15.75" customHeight="1">
      <c r="A635" s="18">
        <v>45645.0</v>
      </c>
      <c r="B635" s="16" t="str">
        <f t="shared" si="1"/>
        <v>December</v>
      </c>
      <c r="C635" s="2" t="s">
        <v>34</v>
      </c>
      <c r="D635" s="2" t="str">
        <f t="shared" si="2"/>
        <v>Medellín</v>
      </c>
      <c r="E635" s="2" t="s">
        <v>366</v>
      </c>
      <c r="F635" s="2" t="str">
        <f>IFERROR(__xludf.DUMMYFUNCTION("SPLIT(E635, ""-"")"),"Auriculares")</f>
        <v>Auriculares</v>
      </c>
      <c r="G635" s="2" t="str">
        <f>IFERROR(__xludf.DUMMYFUNCTION("""COMPUTED_VALUE"""),"Con cable")</f>
        <v>Con cable</v>
      </c>
      <c r="H635" s="2" t="str">
        <f>IFERROR(__xludf.DUMMYFUNCTION("""COMPUTED_VALUE"""),"4GB")</f>
        <v>4GB</v>
      </c>
      <c r="I635" s="17">
        <v>633.29</v>
      </c>
      <c r="J635" s="6">
        <v>1.0</v>
      </c>
      <c r="K635" s="17">
        <v>633.29</v>
      </c>
      <c r="L635" s="2" t="s">
        <v>1975</v>
      </c>
      <c r="M635" s="2" t="s">
        <v>1976</v>
      </c>
      <c r="N635" s="2" t="s">
        <v>1977</v>
      </c>
    </row>
    <row r="636" ht="15.75" customHeight="1">
      <c r="A636" s="18">
        <v>45645.0</v>
      </c>
      <c r="B636" s="16" t="str">
        <f t="shared" si="1"/>
        <v>December</v>
      </c>
      <c r="C636" s="2" t="s">
        <v>34</v>
      </c>
      <c r="D636" s="2" t="str">
        <f t="shared" si="2"/>
        <v>Medellín</v>
      </c>
      <c r="E636" s="2" t="s">
        <v>70</v>
      </c>
      <c r="F636" s="2" t="str">
        <f>IFERROR(__xludf.DUMMYFUNCTION("SPLIT(E636, ""-"")"),"Auriculares")</f>
        <v>Auriculares</v>
      </c>
      <c r="G636" s="2" t="str">
        <f>IFERROR(__xludf.DUMMYFUNCTION("""COMPUTED_VALUE"""),"Bluetooth")</f>
        <v>Bluetooth</v>
      </c>
      <c r="H636" s="2" t="str">
        <f>IFERROR(__xludf.DUMMYFUNCTION("""COMPUTED_VALUE"""),"16GB")</f>
        <v>16GB</v>
      </c>
      <c r="I636" s="17">
        <v>530.94</v>
      </c>
      <c r="J636" s="6">
        <v>5.0</v>
      </c>
      <c r="K636" s="17">
        <v>2654.7</v>
      </c>
      <c r="L636" s="2" t="s">
        <v>1978</v>
      </c>
      <c r="M636" s="2" t="s">
        <v>1979</v>
      </c>
      <c r="N636" s="2" t="s">
        <v>1980</v>
      </c>
    </row>
    <row r="637" ht="15.75" customHeight="1">
      <c r="A637" s="18">
        <v>45645.0</v>
      </c>
      <c r="B637" s="16" t="str">
        <f t="shared" si="1"/>
        <v>December</v>
      </c>
      <c r="C637" s="2" t="s">
        <v>34</v>
      </c>
      <c r="D637" s="2" t="str">
        <f t="shared" si="2"/>
        <v>Medellín</v>
      </c>
      <c r="E637" s="2" t="s">
        <v>10</v>
      </c>
      <c r="F637" s="2" t="str">
        <f>IFERROR(__xludf.DUMMYFUNCTION("SPLIT(E637, ""-"")"),"Tablet")</f>
        <v>Tablet</v>
      </c>
      <c r="G637" s="2" t="str">
        <f>IFERROR(__xludf.DUMMYFUNCTION("""COMPUTED_VALUE"""),"Estándar")</f>
        <v>Estándar</v>
      </c>
      <c r="H637" s="2" t="str">
        <f>IFERROR(__xludf.DUMMYFUNCTION("""COMPUTED_VALUE"""),"8GB")</f>
        <v>8GB</v>
      </c>
      <c r="I637" s="17">
        <v>127.35</v>
      </c>
      <c r="J637" s="6">
        <v>1.0</v>
      </c>
      <c r="K637" s="17">
        <v>127.35</v>
      </c>
      <c r="L637" s="2" t="s">
        <v>1981</v>
      </c>
      <c r="M637" s="2" t="s">
        <v>1982</v>
      </c>
      <c r="N637" s="2" t="s">
        <v>1983</v>
      </c>
    </row>
    <row r="638" ht="15.75" customHeight="1">
      <c r="A638" s="18">
        <v>45645.0</v>
      </c>
      <c r="B638" s="16" t="str">
        <f t="shared" si="1"/>
        <v>December</v>
      </c>
      <c r="C638" s="2" t="s">
        <v>9</v>
      </c>
      <c r="D638" s="2" t="str">
        <f t="shared" si="2"/>
        <v>Monterrey</v>
      </c>
      <c r="E638" s="2" t="s">
        <v>370</v>
      </c>
      <c r="F638" s="2" t="str">
        <f>IFERROR(__xludf.DUMMYFUNCTION("SPLIT(E638, ""-"")"),"Teléfono")</f>
        <v>Teléfono</v>
      </c>
      <c r="G638" s="2" t="str">
        <f>IFERROR(__xludf.DUMMYFUNCTION("""COMPUTED_VALUE"""),"Gama media")</f>
        <v>Gama media</v>
      </c>
      <c r="H638" s="2" t="str">
        <f>IFERROR(__xludf.DUMMYFUNCTION("""COMPUTED_VALUE"""),"16GB")</f>
        <v>16GB</v>
      </c>
      <c r="I638" s="17">
        <v>1008.28</v>
      </c>
      <c r="J638" s="6">
        <v>5.0</v>
      </c>
      <c r="K638" s="17">
        <v>5041.4</v>
      </c>
      <c r="L638" s="2" t="s">
        <v>1984</v>
      </c>
      <c r="M638" s="2" t="s">
        <v>1985</v>
      </c>
      <c r="N638" s="2" t="s">
        <v>1986</v>
      </c>
    </row>
    <row r="639" ht="15.75" customHeight="1">
      <c r="A639" s="18">
        <v>45645.0</v>
      </c>
      <c r="B639" s="16" t="str">
        <f t="shared" si="1"/>
        <v>December</v>
      </c>
      <c r="C639" s="2" t="s">
        <v>14</v>
      </c>
      <c r="D639" s="2" t="str">
        <f t="shared" si="2"/>
        <v>Bogotá</v>
      </c>
      <c r="E639" s="2" t="s">
        <v>115</v>
      </c>
      <c r="F639" s="2" t="str">
        <f>IFERROR(__xludf.DUMMYFUNCTION("SPLIT(E639, ""-"")"),"Teléfono")</f>
        <v>Teléfono</v>
      </c>
      <c r="G639" s="2" t="str">
        <f>IFERROR(__xludf.DUMMYFUNCTION("""COMPUTED_VALUE"""),"Gama baja")</f>
        <v>Gama baja</v>
      </c>
      <c r="H639" s="2" t="str">
        <f>IFERROR(__xludf.DUMMYFUNCTION("""COMPUTED_VALUE"""),"16GB")</f>
        <v>16GB</v>
      </c>
      <c r="I639" s="17">
        <v>1900.01</v>
      </c>
      <c r="J639" s="6">
        <v>5.0</v>
      </c>
      <c r="K639" s="17">
        <v>9500.05</v>
      </c>
      <c r="L639" s="2" t="s">
        <v>1987</v>
      </c>
      <c r="M639" s="2" t="s">
        <v>1988</v>
      </c>
      <c r="N639" s="2" t="s">
        <v>1989</v>
      </c>
    </row>
    <row r="640" ht="15.75" customHeight="1">
      <c r="A640" s="18">
        <v>45645.0</v>
      </c>
      <c r="B640" s="16" t="str">
        <f t="shared" si="1"/>
        <v>December</v>
      </c>
      <c r="C640" s="2" t="s">
        <v>74</v>
      </c>
      <c r="D640" s="2" t="str">
        <f t="shared" si="2"/>
        <v>Cali</v>
      </c>
      <c r="E640" s="2" t="s">
        <v>179</v>
      </c>
      <c r="F640" s="2" t="str">
        <f>IFERROR(__xludf.DUMMYFUNCTION("SPLIT(E640, ""-"")"),"Tablet")</f>
        <v>Tablet</v>
      </c>
      <c r="G640" s="2" t="str">
        <f>IFERROR(__xludf.DUMMYFUNCTION("""COMPUTED_VALUE"""),"Mini")</f>
        <v>Mini</v>
      </c>
      <c r="H640" s="2" t="str">
        <f>IFERROR(__xludf.DUMMYFUNCTION("""COMPUTED_VALUE"""),"4GB")</f>
        <v>4GB</v>
      </c>
      <c r="I640" s="17">
        <v>1254.96</v>
      </c>
      <c r="J640" s="6">
        <v>1.0</v>
      </c>
      <c r="K640" s="17">
        <v>1254.96</v>
      </c>
      <c r="L640" s="2" t="s">
        <v>1990</v>
      </c>
      <c r="M640" s="2" t="s">
        <v>1991</v>
      </c>
      <c r="N640" s="2" t="s">
        <v>1992</v>
      </c>
    </row>
    <row r="641" ht="15.75" customHeight="1">
      <c r="A641" s="18">
        <v>45645.0</v>
      </c>
      <c r="B641" s="16" t="str">
        <f t="shared" si="1"/>
        <v>December</v>
      </c>
      <c r="C641" s="2" t="s">
        <v>9</v>
      </c>
      <c r="D641" s="2" t="str">
        <f t="shared" si="2"/>
        <v>Monterrey</v>
      </c>
      <c r="E641" s="2" t="s">
        <v>115</v>
      </c>
      <c r="F641" s="2" t="str">
        <f>IFERROR(__xludf.DUMMYFUNCTION("SPLIT(E641, ""-"")"),"Teléfono")</f>
        <v>Teléfono</v>
      </c>
      <c r="G641" s="2" t="str">
        <f>IFERROR(__xludf.DUMMYFUNCTION("""COMPUTED_VALUE"""),"Gama baja")</f>
        <v>Gama baja</v>
      </c>
      <c r="H641" s="2" t="str">
        <f>IFERROR(__xludf.DUMMYFUNCTION("""COMPUTED_VALUE"""),"16GB")</f>
        <v>16GB</v>
      </c>
      <c r="I641" s="17">
        <v>432.18</v>
      </c>
      <c r="J641" s="6">
        <v>1.0</v>
      </c>
      <c r="K641" s="17">
        <v>432.18</v>
      </c>
      <c r="L641" s="2" t="s">
        <v>1993</v>
      </c>
      <c r="M641" s="2" t="s">
        <v>1994</v>
      </c>
      <c r="N641" s="2" t="s">
        <v>1995</v>
      </c>
    </row>
    <row r="642" ht="15.75" customHeight="1">
      <c r="A642" s="18">
        <v>45646.0</v>
      </c>
      <c r="B642" s="16" t="str">
        <f t="shared" si="1"/>
        <v>December</v>
      </c>
      <c r="C642" s="2" t="s">
        <v>74</v>
      </c>
      <c r="D642" s="2" t="str">
        <f t="shared" si="2"/>
        <v>Cali</v>
      </c>
      <c r="E642" s="2" t="s">
        <v>215</v>
      </c>
      <c r="F642" s="2" t="str">
        <f>IFERROR(__xludf.DUMMYFUNCTION("SPLIT(E642, ""-"")"),"Teléfono")</f>
        <v>Teléfono</v>
      </c>
      <c r="G642" s="2" t="str">
        <f>IFERROR(__xludf.DUMMYFUNCTION("""COMPUTED_VALUE"""),"Gama media")</f>
        <v>Gama media</v>
      </c>
      <c r="H642" s="2" t="str">
        <f>IFERROR(__xludf.DUMMYFUNCTION("""COMPUTED_VALUE"""),"4GB")</f>
        <v>4GB</v>
      </c>
      <c r="I642" s="17">
        <v>2373.12</v>
      </c>
      <c r="J642" s="6">
        <v>2.0</v>
      </c>
      <c r="K642" s="17">
        <v>4746.24</v>
      </c>
      <c r="L642" s="2" t="s">
        <v>1996</v>
      </c>
      <c r="M642" s="2" t="s">
        <v>1997</v>
      </c>
      <c r="N642" s="2" t="s">
        <v>1998</v>
      </c>
    </row>
    <row r="643" ht="15.75" customHeight="1">
      <c r="A643" s="18">
        <v>45646.0</v>
      </c>
      <c r="B643" s="16" t="str">
        <f t="shared" si="1"/>
        <v>December</v>
      </c>
      <c r="C643" s="2" t="s">
        <v>34</v>
      </c>
      <c r="D643" s="2" t="str">
        <f t="shared" si="2"/>
        <v>Medellín</v>
      </c>
      <c r="E643" s="2" t="s">
        <v>83</v>
      </c>
      <c r="F643" s="2" t="str">
        <f>IFERROR(__xludf.DUMMYFUNCTION("SPLIT(E643, ""-"")"),"Teléfono")</f>
        <v>Teléfono</v>
      </c>
      <c r="G643" s="2" t="str">
        <f>IFERROR(__xludf.DUMMYFUNCTION("""COMPUTED_VALUE"""),"Gama media")</f>
        <v>Gama media</v>
      </c>
      <c r="H643" s="2" t="str">
        <f>IFERROR(__xludf.DUMMYFUNCTION("""COMPUTED_VALUE"""),"32GB")</f>
        <v>32GB</v>
      </c>
      <c r="I643" s="17">
        <v>290.07</v>
      </c>
      <c r="J643" s="6">
        <v>4.0</v>
      </c>
      <c r="K643" s="17">
        <v>1160.28</v>
      </c>
      <c r="L643" s="2" t="s">
        <v>1999</v>
      </c>
      <c r="M643" s="2" t="s">
        <v>2000</v>
      </c>
      <c r="N643" s="2" t="s">
        <v>2001</v>
      </c>
    </row>
    <row r="644" ht="15.75" customHeight="1">
      <c r="A644" s="18">
        <v>45646.0</v>
      </c>
      <c r="B644" s="16" t="str">
        <f t="shared" si="1"/>
        <v>December</v>
      </c>
      <c r="C644" s="2" t="s">
        <v>9</v>
      </c>
      <c r="D644" s="2" t="str">
        <f t="shared" si="2"/>
        <v>Monterrey</v>
      </c>
      <c r="E644" s="2" t="s">
        <v>187</v>
      </c>
      <c r="F644" s="2" t="str">
        <f>IFERROR(__xludf.DUMMYFUNCTION("SPLIT(E644, ""-"")"),"Laptop")</f>
        <v>Laptop</v>
      </c>
      <c r="G644" s="2" t="str">
        <f>IFERROR(__xludf.DUMMYFUNCTION("""COMPUTED_VALUE"""),"Ultraliviana")</f>
        <v>Ultraliviana</v>
      </c>
      <c r="H644" s="2" t="str">
        <f>IFERROR(__xludf.DUMMYFUNCTION("""COMPUTED_VALUE"""),"16GB")</f>
        <v>16GB</v>
      </c>
      <c r="I644" s="17">
        <v>841.77</v>
      </c>
      <c r="J644" s="6">
        <v>1.0</v>
      </c>
      <c r="K644" s="17">
        <v>841.77</v>
      </c>
      <c r="L644" s="2" t="s">
        <v>2002</v>
      </c>
      <c r="M644" s="2" t="s">
        <v>2003</v>
      </c>
      <c r="N644" s="2" t="s">
        <v>2004</v>
      </c>
    </row>
    <row r="645" ht="15.75" customHeight="1">
      <c r="A645" s="18">
        <v>45646.0</v>
      </c>
      <c r="B645" s="16" t="str">
        <f t="shared" si="1"/>
        <v>December</v>
      </c>
      <c r="C645" s="2" t="s">
        <v>9</v>
      </c>
      <c r="D645" s="2" t="str">
        <f t="shared" si="2"/>
        <v>Monterrey</v>
      </c>
      <c r="E645" s="2" t="s">
        <v>119</v>
      </c>
      <c r="F645" s="2" t="str">
        <f>IFERROR(__xludf.DUMMYFUNCTION("SPLIT(E645, ""-"")"),"Teléfono")</f>
        <v>Teléfono</v>
      </c>
      <c r="G645" s="2" t="str">
        <f>IFERROR(__xludf.DUMMYFUNCTION("""COMPUTED_VALUE"""),"Gama alta")</f>
        <v>Gama alta</v>
      </c>
      <c r="H645" s="2" t="str">
        <f>IFERROR(__xludf.DUMMYFUNCTION("""COMPUTED_VALUE"""),"8GB")</f>
        <v>8GB</v>
      </c>
      <c r="I645" s="17">
        <v>1501.95</v>
      </c>
      <c r="J645" s="6">
        <v>2.0</v>
      </c>
      <c r="K645" s="17">
        <v>3003.9</v>
      </c>
      <c r="L645" s="2" t="s">
        <v>2005</v>
      </c>
      <c r="M645" s="2" t="s">
        <v>2006</v>
      </c>
      <c r="N645" s="2" t="s">
        <v>2007</v>
      </c>
    </row>
    <row r="646" ht="15.75" customHeight="1">
      <c r="A646" s="18">
        <v>45646.0</v>
      </c>
      <c r="B646" s="16" t="str">
        <f t="shared" si="1"/>
        <v>December</v>
      </c>
      <c r="C646" s="2" t="s">
        <v>34</v>
      </c>
      <c r="D646" s="2" t="str">
        <f t="shared" si="2"/>
        <v>Medellín</v>
      </c>
      <c r="E646" s="2" t="s">
        <v>662</v>
      </c>
      <c r="F646" s="2" t="str">
        <f>IFERROR(__xludf.DUMMYFUNCTION("SPLIT(E646, ""-"")"),"Auriculares")</f>
        <v>Auriculares</v>
      </c>
      <c r="G646" s="2" t="str">
        <f>IFERROR(__xludf.DUMMYFUNCTION("""COMPUTED_VALUE"""),"Cancelación de ruido")</f>
        <v>Cancelación de ruido</v>
      </c>
      <c r="H646" s="2" t="str">
        <f>IFERROR(__xludf.DUMMYFUNCTION("""COMPUTED_VALUE"""),"32GB")</f>
        <v>32GB</v>
      </c>
      <c r="I646" s="17">
        <v>769.01</v>
      </c>
      <c r="J646" s="6">
        <v>5.0</v>
      </c>
      <c r="K646" s="17">
        <v>3845.05</v>
      </c>
      <c r="L646" s="2" t="s">
        <v>2008</v>
      </c>
      <c r="M646" s="2" t="s">
        <v>2009</v>
      </c>
      <c r="N646" s="2" t="s">
        <v>2010</v>
      </c>
    </row>
    <row r="647" ht="15.75" customHeight="1">
      <c r="A647" s="18">
        <v>45646.0</v>
      </c>
      <c r="B647" s="16" t="str">
        <f t="shared" si="1"/>
        <v>December</v>
      </c>
      <c r="C647" s="3" t="s">
        <v>29</v>
      </c>
      <c r="D647" s="2" t="str">
        <f t="shared" si="2"/>
        <v>Ciudad De Mexico</v>
      </c>
      <c r="E647" s="2" t="s">
        <v>161</v>
      </c>
      <c r="F647" s="2" t="str">
        <f>IFERROR(__xludf.DUMMYFUNCTION("SPLIT(E647, ""-"")"),"Laptop")</f>
        <v>Laptop</v>
      </c>
      <c r="G647" s="2" t="str">
        <f>IFERROR(__xludf.DUMMYFUNCTION("""COMPUTED_VALUE"""),"Oficina")</f>
        <v>Oficina</v>
      </c>
      <c r="H647" s="2" t="str">
        <f>IFERROR(__xludf.DUMMYFUNCTION("""COMPUTED_VALUE"""),"32GB")</f>
        <v>32GB</v>
      </c>
      <c r="I647" s="17">
        <v>1507.69</v>
      </c>
      <c r="J647" s="6">
        <v>5.0</v>
      </c>
      <c r="K647" s="17">
        <v>7538.45</v>
      </c>
      <c r="L647" s="2" t="s">
        <v>2011</v>
      </c>
      <c r="M647" s="2" t="s">
        <v>2012</v>
      </c>
      <c r="N647" s="2" t="s">
        <v>2013</v>
      </c>
    </row>
    <row r="648" ht="15.75" customHeight="1">
      <c r="A648" s="18">
        <v>45646.0</v>
      </c>
      <c r="B648" s="16" t="str">
        <f t="shared" si="1"/>
        <v>December</v>
      </c>
      <c r="C648" s="2" t="s">
        <v>9</v>
      </c>
      <c r="D648" s="2" t="str">
        <f t="shared" si="2"/>
        <v>Monterrey</v>
      </c>
      <c r="E648" s="2" t="s">
        <v>179</v>
      </c>
      <c r="F648" s="2" t="str">
        <f>IFERROR(__xludf.DUMMYFUNCTION("SPLIT(E648, ""-"")"),"Tablet")</f>
        <v>Tablet</v>
      </c>
      <c r="G648" s="2" t="str">
        <f>IFERROR(__xludf.DUMMYFUNCTION("""COMPUTED_VALUE"""),"Mini")</f>
        <v>Mini</v>
      </c>
      <c r="H648" s="2" t="str">
        <f>IFERROR(__xludf.DUMMYFUNCTION("""COMPUTED_VALUE"""),"4GB")</f>
        <v>4GB</v>
      </c>
      <c r="I648" s="17">
        <v>2086.91</v>
      </c>
      <c r="J648" s="6">
        <v>5.0</v>
      </c>
      <c r="K648" s="17">
        <v>10434.55</v>
      </c>
      <c r="L648" s="2" t="s">
        <v>2014</v>
      </c>
      <c r="M648" s="2" t="s">
        <v>2015</v>
      </c>
      <c r="N648" s="2" t="s">
        <v>2016</v>
      </c>
    </row>
    <row r="649" ht="15.75" customHeight="1">
      <c r="A649" s="18">
        <v>45646.0</v>
      </c>
      <c r="B649" s="16" t="str">
        <f t="shared" si="1"/>
        <v>December</v>
      </c>
      <c r="C649" s="3" t="s">
        <v>29</v>
      </c>
      <c r="D649" s="2" t="str">
        <f t="shared" si="2"/>
        <v>Ciudad De Mexico</v>
      </c>
      <c r="E649" s="2" t="s">
        <v>396</v>
      </c>
      <c r="F649" s="2" t="str">
        <f>IFERROR(__xludf.DUMMYFUNCTION("SPLIT(E649, ""-"")"),"Laptop")</f>
        <v>Laptop</v>
      </c>
      <c r="G649" s="2" t="str">
        <f>IFERROR(__xludf.DUMMYFUNCTION("""COMPUTED_VALUE"""),"Gaming")</f>
        <v>Gaming</v>
      </c>
      <c r="H649" s="2" t="str">
        <f>IFERROR(__xludf.DUMMYFUNCTION("""COMPUTED_VALUE"""),"4GB")</f>
        <v>4GB</v>
      </c>
      <c r="I649" s="17">
        <v>1092.96</v>
      </c>
      <c r="J649" s="6">
        <v>4.0</v>
      </c>
      <c r="K649" s="17">
        <v>4371.84</v>
      </c>
      <c r="L649" s="2" t="s">
        <v>2017</v>
      </c>
      <c r="M649" s="2" t="s">
        <v>2018</v>
      </c>
      <c r="N649" s="2" t="s">
        <v>2019</v>
      </c>
    </row>
    <row r="650" ht="15.75" customHeight="1">
      <c r="A650" s="18">
        <v>45646.0</v>
      </c>
      <c r="B650" s="16" t="str">
        <f t="shared" si="1"/>
        <v>December</v>
      </c>
      <c r="C650" s="2" t="s">
        <v>57</v>
      </c>
      <c r="D650" s="2" t="str">
        <f t="shared" si="2"/>
        <v>Guadalajara</v>
      </c>
      <c r="E650" s="2" t="s">
        <v>137</v>
      </c>
      <c r="F650" s="2" t="str">
        <f>IFERROR(__xludf.DUMMYFUNCTION("SPLIT(E650, ""-"")"),"Auriculares")</f>
        <v>Auriculares</v>
      </c>
      <c r="G650" s="2" t="str">
        <f>IFERROR(__xludf.DUMMYFUNCTION("""COMPUTED_VALUE"""),"Con cable")</f>
        <v>Con cable</v>
      </c>
      <c r="H650" s="2" t="str">
        <f>IFERROR(__xludf.DUMMYFUNCTION("""COMPUTED_VALUE"""),"16GB")</f>
        <v>16GB</v>
      </c>
      <c r="I650" s="17">
        <v>2114.97</v>
      </c>
      <c r="J650" s="6">
        <v>1.0</v>
      </c>
      <c r="K650" s="17">
        <v>2114.97</v>
      </c>
      <c r="L650" s="2" t="s">
        <v>2020</v>
      </c>
      <c r="M650" s="2" t="s">
        <v>2021</v>
      </c>
      <c r="N650" s="2" t="s">
        <v>2022</v>
      </c>
    </row>
    <row r="651" ht="15.75" customHeight="1">
      <c r="A651" s="18">
        <v>45646.0</v>
      </c>
      <c r="B651" s="16" t="str">
        <f t="shared" si="1"/>
        <v>December</v>
      </c>
      <c r="C651" s="2" t="s">
        <v>14</v>
      </c>
      <c r="D651" s="2" t="str">
        <f t="shared" si="2"/>
        <v>Bogotá</v>
      </c>
      <c r="E651" s="2" t="s">
        <v>370</v>
      </c>
      <c r="F651" s="2" t="str">
        <f>IFERROR(__xludf.DUMMYFUNCTION("SPLIT(E651, ""-"")"),"Teléfono")</f>
        <v>Teléfono</v>
      </c>
      <c r="G651" s="2" t="str">
        <f>IFERROR(__xludf.DUMMYFUNCTION("""COMPUTED_VALUE"""),"Gama media")</f>
        <v>Gama media</v>
      </c>
      <c r="H651" s="2" t="str">
        <f>IFERROR(__xludf.DUMMYFUNCTION("""COMPUTED_VALUE"""),"16GB")</f>
        <v>16GB</v>
      </c>
      <c r="I651" s="17">
        <v>2077.18</v>
      </c>
      <c r="J651" s="6">
        <v>4.0</v>
      </c>
      <c r="K651" s="17">
        <v>8308.72</v>
      </c>
      <c r="L651" s="2" t="s">
        <v>2023</v>
      </c>
      <c r="M651" s="2" t="s">
        <v>2024</v>
      </c>
      <c r="N651" s="2" t="s">
        <v>2025</v>
      </c>
    </row>
    <row r="652" ht="15.75" customHeight="1">
      <c r="A652" s="18">
        <v>45647.0</v>
      </c>
      <c r="B652" s="16" t="str">
        <f t="shared" si="1"/>
        <v>December</v>
      </c>
      <c r="C652" s="2" t="s">
        <v>34</v>
      </c>
      <c r="D652" s="2" t="str">
        <f t="shared" si="2"/>
        <v>Medellín</v>
      </c>
      <c r="E652" s="2" t="s">
        <v>662</v>
      </c>
      <c r="F652" s="2" t="str">
        <f>IFERROR(__xludf.DUMMYFUNCTION("SPLIT(E652, ""-"")"),"Auriculares")</f>
        <v>Auriculares</v>
      </c>
      <c r="G652" s="2" t="str">
        <f>IFERROR(__xludf.DUMMYFUNCTION("""COMPUTED_VALUE"""),"Cancelación de ruido")</f>
        <v>Cancelación de ruido</v>
      </c>
      <c r="H652" s="2" t="str">
        <f>IFERROR(__xludf.DUMMYFUNCTION("""COMPUTED_VALUE"""),"32GB")</f>
        <v>32GB</v>
      </c>
      <c r="I652" s="17">
        <v>1547.71</v>
      </c>
      <c r="J652" s="6">
        <v>5.0</v>
      </c>
      <c r="K652" s="17">
        <v>7738.55</v>
      </c>
      <c r="L652" s="2" t="s">
        <v>2026</v>
      </c>
      <c r="M652" s="2" t="s">
        <v>2027</v>
      </c>
      <c r="N652" s="2" t="s">
        <v>2028</v>
      </c>
    </row>
    <row r="653" ht="15.75" customHeight="1">
      <c r="A653" s="18">
        <v>45647.0</v>
      </c>
      <c r="B653" s="16" t="str">
        <f t="shared" si="1"/>
        <v>December</v>
      </c>
      <c r="C653" s="2" t="s">
        <v>9</v>
      </c>
      <c r="D653" s="2" t="str">
        <f t="shared" si="2"/>
        <v>Monterrey</v>
      </c>
      <c r="E653" s="2" t="s">
        <v>161</v>
      </c>
      <c r="F653" s="2" t="str">
        <f>IFERROR(__xludf.DUMMYFUNCTION("SPLIT(E653, ""-"")"),"Laptop")</f>
        <v>Laptop</v>
      </c>
      <c r="G653" s="2" t="str">
        <f>IFERROR(__xludf.DUMMYFUNCTION("""COMPUTED_VALUE"""),"Oficina")</f>
        <v>Oficina</v>
      </c>
      <c r="H653" s="2" t="str">
        <f>IFERROR(__xludf.DUMMYFUNCTION("""COMPUTED_VALUE"""),"32GB")</f>
        <v>32GB</v>
      </c>
      <c r="I653" s="17">
        <v>1944.73</v>
      </c>
      <c r="J653" s="6">
        <v>4.0</v>
      </c>
      <c r="K653" s="17">
        <v>7778.92</v>
      </c>
      <c r="L653" s="2" t="s">
        <v>2029</v>
      </c>
      <c r="M653" s="2" t="s">
        <v>2030</v>
      </c>
      <c r="N653" s="2" t="s">
        <v>2031</v>
      </c>
    </row>
    <row r="654" ht="15.75" customHeight="1">
      <c r="A654" s="18">
        <v>45647.0</v>
      </c>
      <c r="B654" s="16" t="str">
        <f t="shared" si="1"/>
        <v>December</v>
      </c>
      <c r="C654" s="2" t="s">
        <v>74</v>
      </c>
      <c r="D654" s="2" t="str">
        <f t="shared" si="2"/>
        <v>Cali</v>
      </c>
      <c r="E654" s="2" t="s">
        <v>119</v>
      </c>
      <c r="F654" s="2" t="str">
        <f>IFERROR(__xludf.DUMMYFUNCTION("SPLIT(E654, ""-"")"),"Teléfono")</f>
        <v>Teléfono</v>
      </c>
      <c r="G654" s="2" t="str">
        <f>IFERROR(__xludf.DUMMYFUNCTION("""COMPUTED_VALUE"""),"Gama alta")</f>
        <v>Gama alta</v>
      </c>
      <c r="H654" s="2" t="str">
        <f>IFERROR(__xludf.DUMMYFUNCTION("""COMPUTED_VALUE"""),"8GB")</f>
        <v>8GB</v>
      </c>
      <c r="I654" s="17">
        <v>1459.53</v>
      </c>
      <c r="J654" s="6">
        <v>1.0</v>
      </c>
      <c r="K654" s="17">
        <v>1459.53</v>
      </c>
      <c r="L654" s="2" t="s">
        <v>2032</v>
      </c>
      <c r="M654" s="2" t="s">
        <v>2033</v>
      </c>
      <c r="N654" s="2" t="s">
        <v>2034</v>
      </c>
    </row>
    <row r="655" ht="15.75" customHeight="1">
      <c r="A655" s="18">
        <v>45647.0</v>
      </c>
      <c r="B655" s="16" t="str">
        <f t="shared" si="1"/>
        <v>December</v>
      </c>
      <c r="C655" s="2" t="s">
        <v>9</v>
      </c>
      <c r="D655" s="2" t="str">
        <f t="shared" si="2"/>
        <v>Monterrey</v>
      </c>
      <c r="E655" s="2" t="s">
        <v>386</v>
      </c>
      <c r="F655" s="2" t="str">
        <f>IFERROR(__xludf.DUMMYFUNCTION("SPLIT(E655, ""-"")"),"Auriculares")</f>
        <v>Auriculares</v>
      </c>
      <c r="G655" s="2" t="str">
        <f>IFERROR(__xludf.DUMMYFUNCTION("""COMPUTED_VALUE"""),"Cancelación de ruido")</f>
        <v>Cancelación de ruido</v>
      </c>
      <c r="H655" s="2" t="str">
        <f>IFERROR(__xludf.DUMMYFUNCTION("""COMPUTED_VALUE"""),"4GB")</f>
        <v>4GB</v>
      </c>
      <c r="I655" s="17">
        <v>1019.73</v>
      </c>
      <c r="J655" s="6">
        <v>2.0</v>
      </c>
      <c r="K655" s="17">
        <v>2039.46</v>
      </c>
      <c r="L655" s="2" t="s">
        <v>2035</v>
      </c>
      <c r="M655" s="2" t="s">
        <v>2036</v>
      </c>
      <c r="N655" s="2" t="s">
        <v>2037</v>
      </c>
    </row>
    <row r="656" ht="15.75" customHeight="1">
      <c r="A656" s="18">
        <v>45647.0</v>
      </c>
      <c r="B656" s="16" t="str">
        <f t="shared" si="1"/>
        <v>December</v>
      </c>
      <c r="C656" s="3" t="s">
        <v>29</v>
      </c>
      <c r="D656" s="2" t="str">
        <f t="shared" si="2"/>
        <v>Ciudad De Mexico</v>
      </c>
      <c r="E656" s="2" t="s">
        <v>269</v>
      </c>
      <c r="F656" s="2" t="str">
        <f>IFERROR(__xludf.DUMMYFUNCTION("SPLIT(E656, ""-"")"),"Teléfono")</f>
        <v>Teléfono</v>
      </c>
      <c r="G656" s="2" t="str">
        <f>IFERROR(__xludf.DUMMYFUNCTION("""COMPUTED_VALUE"""),"Gama baja")</f>
        <v>Gama baja</v>
      </c>
      <c r="H656" s="2" t="str">
        <f>IFERROR(__xludf.DUMMYFUNCTION("""COMPUTED_VALUE"""),"32GB")</f>
        <v>32GB</v>
      </c>
      <c r="I656" s="17">
        <v>1670.11</v>
      </c>
      <c r="J656" s="6">
        <v>3.0</v>
      </c>
      <c r="K656" s="17">
        <v>5010.33</v>
      </c>
      <c r="L656" s="2" t="s">
        <v>2038</v>
      </c>
      <c r="M656" s="2" t="s">
        <v>2039</v>
      </c>
      <c r="N656" s="2" t="s">
        <v>2040</v>
      </c>
    </row>
    <row r="657" ht="15.75" customHeight="1">
      <c r="A657" s="18">
        <v>45647.0</v>
      </c>
      <c r="B657" s="16" t="str">
        <f t="shared" si="1"/>
        <v>December</v>
      </c>
      <c r="C657" s="2" t="s">
        <v>74</v>
      </c>
      <c r="D657" s="2" t="str">
        <f t="shared" si="2"/>
        <v>Cali</v>
      </c>
      <c r="E657" s="2" t="s">
        <v>62</v>
      </c>
      <c r="F657" s="2" t="str">
        <f>IFERROR(__xludf.DUMMYFUNCTION("SPLIT(E657, ""-"")"),"Laptop")</f>
        <v>Laptop</v>
      </c>
      <c r="G657" s="2" t="str">
        <f>IFERROR(__xludf.DUMMYFUNCTION("""COMPUTED_VALUE"""),"Ultraliviana")</f>
        <v>Ultraliviana</v>
      </c>
      <c r="H657" s="2" t="str">
        <f>IFERROR(__xludf.DUMMYFUNCTION("""COMPUTED_VALUE"""),"4GB")</f>
        <v>4GB</v>
      </c>
      <c r="I657" s="17">
        <v>2008.78</v>
      </c>
      <c r="J657" s="6">
        <v>5.0</v>
      </c>
      <c r="K657" s="17">
        <v>10043.9</v>
      </c>
      <c r="L657" s="2" t="s">
        <v>2041</v>
      </c>
      <c r="M657" s="2" t="s">
        <v>2042</v>
      </c>
      <c r="N657" s="2" t="s">
        <v>2043</v>
      </c>
    </row>
    <row r="658" ht="15.75" customHeight="1">
      <c r="A658" s="18">
        <v>45647.0</v>
      </c>
      <c r="B658" s="16" t="str">
        <f t="shared" si="1"/>
        <v>December</v>
      </c>
      <c r="C658" s="3" t="s">
        <v>29</v>
      </c>
      <c r="D658" s="2" t="str">
        <f t="shared" si="2"/>
        <v>Ciudad De Mexico</v>
      </c>
      <c r="E658" s="2" t="s">
        <v>130</v>
      </c>
      <c r="F658" s="2" t="str">
        <f>IFERROR(__xludf.DUMMYFUNCTION("SPLIT(E658, ""-"")"),"Tablet")</f>
        <v>Tablet</v>
      </c>
      <c r="G658" s="2" t="str">
        <f>IFERROR(__xludf.DUMMYFUNCTION("""COMPUTED_VALUE"""),"Pro")</f>
        <v>Pro</v>
      </c>
      <c r="H658" s="2" t="str">
        <f>IFERROR(__xludf.DUMMYFUNCTION("""COMPUTED_VALUE"""),"8GB")</f>
        <v>8GB</v>
      </c>
      <c r="I658" s="17">
        <v>2461.26</v>
      </c>
      <c r="J658" s="6">
        <v>3.0</v>
      </c>
      <c r="K658" s="17">
        <v>7383.78</v>
      </c>
      <c r="L658" s="2" t="s">
        <v>2044</v>
      </c>
      <c r="M658" s="2" t="s">
        <v>2045</v>
      </c>
      <c r="N658" s="2" t="s">
        <v>2046</v>
      </c>
    </row>
    <row r="659" ht="15.75" customHeight="1">
      <c r="A659" s="18">
        <v>45647.0</v>
      </c>
      <c r="B659" s="16" t="str">
        <f t="shared" si="1"/>
        <v>December</v>
      </c>
      <c r="C659" s="2" t="s">
        <v>57</v>
      </c>
      <c r="D659" s="2" t="str">
        <f t="shared" si="2"/>
        <v>Guadalajara</v>
      </c>
      <c r="E659" s="2" t="s">
        <v>396</v>
      </c>
      <c r="F659" s="2" t="str">
        <f>IFERROR(__xludf.DUMMYFUNCTION("SPLIT(E659, ""-"")"),"Laptop")</f>
        <v>Laptop</v>
      </c>
      <c r="G659" s="2" t="str">
        <f>IFERROR(__xludf.DUMMYFUNCTION("""COMPUTED_VALUE"""),"Gaming")</f>
        <v>Gaming</v>
      </c>
      <c r="H659" s="2" t="str">
        <f>IFERROR(__xludf.DUMMYFUNCTION("""COMPUTED_VALUE"""),"4GB")</f>
        <v>4GB</v>
      </c>
      <c r="I659" s="17">
        <v>2224.42</v>
      </c>
      <c r="J659" s="6">
        <v>4.0</v>
      </c>
      <c r="K659" s="17">
        <v>8897.68</v>
      </c>
      <c r="L659" s="2" t="s">
        <v>2047</v>
      </c>
      <c r="M659" s="2" t="s">
        <v>2048</v>
      </c>
      <c r="N659" s="2" t="s">
        <v>2049</v>
      </c>
    </row>
    <row r="660" ht="15.75" customHeight="1">
      <c r="A660" s="18">
        <v>45647.0</v>
      </c>
      <c r="B660" s="16" t="str">
        <f t="shared" si="1"/>
        <v>December</v>
      </c>
      <c r="C660" s="2" t="s">
        <v>74</v>
      </c>
      <c r="D660" s="2" t="str">
        <f t="shared" si="2"/>
        <v>Cali</v>
      </c>
      <c r="E660" s="21" t="s">
        <v>2340</v>
      </c>
      <c r="F660" s="2" t="str">
        <f>IFERROR(__xludf.DUMMYFUNCTION("SPLIT(E660, ""-"")"),"Teléfono")</f>
        <v>Teléfono</v>
      </c>
      <c r="G660" s="2" t="str">
        <f>IFERROR(__xludf.DUMMYFUNCTION("""COMPUTED_VALUE"""),"Gama media")</f>
        <v>Gama media</v>
      </c>
      <c r="H660" s="2" t="str">
        <f>IFERROR(__xludf.DUMMYFUNCTION("""COMPUTED_VALUE"""),"8GB")</f>
        <v>8GB</v>
      </c>
      <c r="I660" s="17">
        <v>1979.07</v>
      </c>
      <c r="J660" s="6">
        <v>1.0</v>
      </c>
      <c r="K660" s="17">
        <v>1979.07</v>
      </c>
      <c r="L660" s="2" t="s">
        <v>2050</v>
      </c>
      <c r="M660" s="2" t="s">
        <v>2051</v>
      </c>
      <c r="N660" s="2" t="s">
        <v>2052</v>
      </c>
    </row>
    <row r="661" ht="15.75" customHeight="1">
      <c r="A661" s="18">
        <v>45647.0</v>
      </c>
      <c r="B661" s="16" t="str">
        <f t="shared" si="1"/>
        <v>December</v>
      </c>
      <c r="C661" s="2" t="s">
        <v>57</v>
      </c>
      <c r="D661" s="2" t="str">
        <f t="shared" si="2"/>
        <v>Guadalajara</v>
      </c>
      <c r="E661" s="2" t="s">
        <v>88</v>
      </c>
      <c r="F661" s="2" t="str">
        <f>IFERROR(__xludf.DUMMYFUNCTION("SPLIT(E661, ""-"")"),"Laptop")</f>
        <v>Laptop</v>
      </c>
      <c r="G661" s="2" t="str">
        <f>IFERROR(__xludf.DUMMYFUNCTION("""COMPUTED_VALUE"""),"Gaming")</f>
        <v>Gaming</v>
      </c>
      <c r="H661" s="2" t="str">
        <f>IFERROR(__xludf.DUMMYFUNCTION("""COMPUTED_VALUE"""),"32GB")</f>
        <v>32GB</v>
      </c>
      <c r="I661" s="17">
        <v>1397.8</v>
      </c>
      <c r="J661" s="6">
        <v>2.0</v>
      </c>
      <c r="K661" s="17">
        <v>2795.6</v>
      </c>
      <c r="L661" s="2" t="s">
        <v>2053</v>
      </c>
      <c r="M661" s="2" t="s">
        <v>2054</v>
      </c>
      <c r="N661" s="2" t="s">
        <v>2055</v>
      </c>
    </row>
    <row r="662" ht="15.75" customHeight="1">
      <c r="A662" s="18">
        <v>45648.0</v>
      </c>
      <c r="B662" s="16" t="str">
        <f t="shared" si="1"/>
        <v>December</v>
      </c>
      <c r="C662" s="2" t="s">
        <v>57</v>
      </c>
      <c r="D662" s="2" t="str">
        <f t="shared" si="2"/>
        <v>Guadalajara</v>
      </c>
      <c r="E662" s="2" t="s">
        <v>92</v>
      </c>
      <c r="F662" s="2" t="str">
        <f>IFERROR(__xludf.DUMMYFUNCTION("SPLIT(E662, ""-"")"),"Tablet")</f>
        <v>Tablet</v>
      </c>
      <c r="G662" s="2" t="str">
        <f>IFERROR(__xludf.DUMMYFUNCTION("""COMPUTED_VALUE"""),"Mini")</f>
        <v>Mini</v>
      </c>
      <c r="H662" s="2" t="str">
        <f>IFERROR(__xludf.DUMMYFUNCTION("""COMPUTED_VALUE"""),"8GB")</f>
        <v>8GB</v>
      </c>
      <c r="I662" s="17">
        <v>1636.65</v>
      </c>
      <c r="J662" s="6">
        <v>2.0</v>
      </c>
      <c r="K662" s="17">
        <v>3273.3</v>
      </c>
      <c r="L662" s="2" t="s">
        <v>2056</v>
      </c>
      <c r="M662" s="2" t="s">
        <v>2057</v>
      </c>
      <c r="N662" s="2" t="s">
        <v>2058</v>
      </c>
    </row>
    <row r="663" ht="15.75" customHeight="1">
      <c r="A663" s="18">
        <v>45648.0</v>
      </c>
      <c r="B663" s="16" t="str">
        <f t="shared" si="1"/>
        <v>December</v>
      </c>
      <c r="C663" s="2" t="s">
        <v>74</v>
      </c>
      <c r="D663" s="2" t="str">
        <f t="shared" si="2"/>
        <v>Cali</v>
      </c>
      <c r="E663" s="2" t="s">
        <v>22</v>
      </c>
      <c r="F663" s="2" t="str">
        <f>IFERROR(__xludf.DUMMYFUNCTION("SPLIT(E663, ""-"")"),"Tablet")</f>
        <v>Tablet</v>
      </c>
      <c r="G663" s="2" t="str">
        <f>IFERROR(__xludf.DUMMYFUNCTION("""COMPUTED_VALUE"""),"Estándar")</f>
        <v>Estándar</v>
      </c>
      <c r="H663" s="2" t="str">
        <f>IFERROR(__xludf.DUMMYFUNCTION("""COMPUTED_VALUE"""),"16GB")</f>
        <v>16GB</v>
      </c>
      <c r="I663" s="17">
        <v>2186.25</v>
      </c>
      <c r="J663" s="6">
        <v>5.0</v>
      </c>
      <c r="K663" s="17">
        <v>10931.25</v>
      </c>
      <c r="L663" s="2" t="s">
        <v>2059</v>
      </c>
      <c r="M663" s="2" t="s">
        <v>2060</v>
      </c>
      <c r="N663" s="2" t="s">
        <v>2061</v>
      </c>
    </row>
    <row r="664" ht="15.75" customHeight="1">
      <c r="A664" s="18">
        <v>45648.0</v>
      </c>
      <c r="B664" s="16" t="str">
        <f t="shared" si="1"/>
        <v>December</v>
      </c>
      <c r="C664" s="2" t="s">
        <v>9</v>
      </c>
      <c r="D664" s="2" t="str">
        <f t="shared" si="2"/>
        <v>Monterrey</v>
      </c>
      <c r="E664" s="2" t="s">
        <v>83</v>
      </c>
      <c r="F664" s="2" t="str">
        <f>IFERROR(__xludf.DUMMYFUNCTION("SPLIT(E664, ""-"")"),"Teléfono")</f>
        <v>Teléfono</v>
      </c>
      <c r="G664" s="2" t="str">
        <f>IFERROR(__xludf.DUMMYFUNCTION("""COMPUTED_VALUE"""),"Gama media")</f>
        <v>Gama media</v>
      </c>
      <c r="H664" s="2" t="str">
        <f>IFERROR(__xludf.DUMMYFUNCTION("""COMPUTED_VALUE"""),"32GB")</f>
        <v>32GB</v>
      </c>
      <c r="I664" s="17">
        <v>1567.55</v>
      </c>
      <c r="J664" s="6">
        <v>3.0</v>
      </c>
      <c r="K664" s="17">
        <v>4702.65</v>
      </c>
      <c r="L664" s="2" t="s">
        <v>2062</v>
      </c>
      <c r="M664" s="2" t="s">
        <v>2063</v>
      </c>
      <c r="N664" s="2" t="s">
        <v>2064</v>
      </c>
    </row>
    <row r="665" ht="15.75" customHeight="1">
      <c r="A665" s="18">
        <v>45648.0</v>
      </c>
      <c r="B665" s="16" t="str">
        <f t="shared" si="1"/>
        <v>December</v>
      </c>
      <c r="C665" s="2" t="s">
        <v>9</v>
      </c>
      <c r="D665" s="2" t="str">
        <f t="shared" si="2"/>
        <v>Monterrey</v>
      </c>
      <c r="E665" s="2" t="s">
        <v>187</v>
      </c>
      <c r="F665" s="2" t="str">
        <f>IFERROR(__xludf.DUMMYFUNCTION("SPLIT(E665, ""-"")"),"Laptop")</f>
        <v>Laptop</v>
      </c>
      <c r="G665" s="2" t="str">
        <f>IFERROR(__xludf.DUMMYFUNCTION("""COMPUTED_VALUE"""),"Ultraliviana")</f>
        <v>Ultraliviana</v>
      </c>
      <c r="H665" s="2" t="str">
        <f>IFERROR(__xludf.DUMMYFUNCTION("""COMPUTED_VALUE"""),"16GB")</f>
        <v>16GB</v>
      </c>
      <c r="I665" s="17">
        <v>1717.67</v>
      </c>
      <c r="J665" s="6">
        <v>4.0</v>
      </c>
      <c r="K665" s="17">
        <v>6870.68</v>
      </c>
      <c r="L665" s="2" t="s">
        <v>2065</v>
      </c>
      <c r="M665" s="2" t="s">
        <v>2066</v>
      </c>
      <c r="N665" s="2" t="s">
        <v>2067</v>
      </c>
    </row>
    <row r="666" ht="15.75" customHeight="1">
      <c r="A666" s="18">
        <v>45648.0</v>
      </c>
      <c r="B666" s="16" t="str">
        <f t="shared" si="1"/>
        <v>December</v>
      </c>
      <c r="C666" s="2" t="s">
        <v>34</v>
      </c>
      <c r="D666" s="2" t="str">
        <f t="shared" si="2"/>
        <v>Medellín</v>
      </c>
      <c r="E666" s="2" t="s">
        <v>183</v>
      </c>
      <c r="F666" s="2" t="str">
        <f>IFERROR(__xludf.DUMMYFUNCTION("SPLIT(E666, ""-"")"),"Auriculares")</f>
        <v>Auriculares</v>
      </c>
      <c r="G666" s="2" t="str">
        <f>IFERROR(__xludf.DUMMYFUNCTION("""COMPUTED_VALUE"""),"Cancelaci√≥n de ruido")</f>
        <v>Cancelaci√≥n de ruido</v>
      </c>
      <c r="H666" s="2" t="str">
        <f>IFERROR(__xludf.DUMMYFUNCTION("""COMPUTED_VALUE"""),"16GB")</f>
        <v>16GB</v>
      </c>
      <c r="I666" s="17">
        <v>778.63</v>
      </c>
      <c r="J666" s="6">
        <v>1.0</v>
      </c>
      <c r="K666" s="17">
        <v>778.63</v>
      </c>
      <c r="L666" s="2" t="s">
        <v>2068</v>
      </c>
      <c r="M666" s="2" t="s">
        <v>2069</v>
      </c>
      <c r="N666" s="2" t="s">
        <v>2070</v>
      </c>
    </row>
    <row r="667" ht="15.75" customHeight="1">
      <c r="A667" s="18">
        <v>45648.0</v>
      </c>
      <c r="B667" s="16" t="str">
        <f t="shared" si="1"/>
        <v>December</v>
      </c>
      <c r="C667" s="2" t="s">
        <v>9</v>
      </c>
      <c r="D667" s="2" t="str">
        <f t="shared" si="2"/>
        <v>Monterrey</v>
      </c>
      <c r="E667" s="2" t="s">
        <v>230</v>
      </c>
      <c r="F667" s="2" t="str">
        <f>IFERROR(__xludf.DUMMYFUNCTION("SPLIT(E667, ""-"")"),"Tablet")</f>
        <v>Tablet</v>
      </c>
      <c r="G667" s="2" t="str">
        <f>IFERROR(__xludf.DUMMYFUNCTION("""COMPUTED_VALUE"""),"Mini")</f>
        <v>Mini</v>
      </c>
      <c r="H667" s="2" t="str">
        <f>IFERROR(__xludf.DUMMYFUNCTION("""COMPUTED_VALUE"""),"16GB")</f>
        <v>16GB</v>
      </c>
      <c r="I667" s="17">
        <v>2251.92</v>
      </c>
      <c r="J667" s="6">
        <v>5.0</v>
      </c>
      <c r="K667" s="17">
        <v>11259.6</v>
      </c>
      <c r="L667" s="2" t="s">
        <v>2071</v>
      </c>
      <c r="M667" s="2" t="s">
        <v>2072</v>
      </c>
      <c r="N667" s="2" t="s">
        <v>2073</v>
      </c>
    </row>
    <row r="668" ht="15.75" customHeight="1">
      <c r="A668" s="18">
        <v>45648.0</v>
      </c>
      <c r="B668" s="16" t="str">
        <f t="shared" si="1"/>
        <v>December</v>
      </c>
      <c r="C668" s="2" t="s">
        <v>74</v>
      </c>
      <c r="D668" s="2" t="str">
        <f t="shared" si="2"/>
        <v>Cali</v>
      </c>
      <c r="E668" s="2" t="s">
        <v>183</v>
      </c>
      <c r="F668" s="2" t="str">
        <f>IFERROR(__xludf.DUMMYFUNCTION("SPLIT(E668, ""-"")"),"Auriculares")</f>
        <v>Auriculares</v>
      </c>
      <c r="G668" s="2" t="str">
        <f>IFERROR(__xludf.DUMMYFUNCTION("""COMPUTED_VALUE"""),"Cancelaci√≥n de ruido")</f>
        <v>Cancelaci√≥n de ruido</v>
      </c>
      <c r="H668" s="2" t="str">
        <f>IFERROR(__xludf.DUMMYFUNCTION("""COMPUTED_VALUE"""),"16GB")</f>
        <v>16GB</v>
      </c>
      <c r="I668" s="17">
        <v>1770.14</v>
      </c>
      <c r="J668" s="6">
        <v>1.0</v>
      </c>
      <c r="K668" s="17">
        <v>1770.14</v>
      </c>
      <c r="L668" s="2" t="s">
        <v>2074</v>
      </c>
      <c r="M668" s="2" t="s">
        <v>2075</v>
      </c>
      <c r="N668" s="2" t="s">
        <v>2076</v>
      </c>
    </row>
    <row r="669" ht="15.75" customHeight="1">
      <c r="A669" s="18">
        <v>45648.0</v>
      </c>
      <c r="B669" s="16" t="str">
        <f t="shared" si="1"/>
        <v>December</v>
      </c>
      <c r="C669" s="2" t="s">
        <v>9</v>
      </c>
      <c r="D669" s="2" t="str">
        <f t="shared" si="2"/>
        <v>Monterrey</v>
      </c>
      <c r="E669" s="2" t="s">
        <v>70</v>
      </c>
      <c r="F669" s="2" t="str">
        <f>IFERROR(__xludf.DUMMYFUNCTION("SPLIT(E669, ""-"")"),"Auriculares")</f>
        <v>Auriculares</v>
      </c>
      <c r="G669" s="2" t="str">
        <f>IFERROR(__xludf.DUMMYFUNCTION("""COMPUTED_VALUE"""),"Bluetooth")</f>
        <v>Bluetooth</v>
      </c>
      <c r="H669" s="2" t="str">
        <f>IFERROR(__xludf.DUMMYFUNCTION("""COMPUTED_VALUE"""),"16GB")</f>
        <v>16GB</v>
      </c>
      <c r="I669" s="17">
        <v>489.63</v>
      </c>
      <c r="J669" s="6">
        <v>1.0</v>
      </c>
      <c r="K669" s="17">
        <v>489.63</v>
      </c>
      <c r="L669" s="2" t="s">
        <v>2077</v>
      </c>
      <c r="M669" s="2" t="s">
        <v>2078</v>
      </c>
      <c r="N669" s="2" t="s">
        <v>2079</v>
      </c>
    </row>
    <row r="670" ht="15.75" customHeight="1">
      <c r="A670" s="18">
        <v>45649.0</v>
      </c>
      <c r="B670" s="16" t="str">
        <f t="shared" si="1"/>
        <v>December</v>
      </c>
      <c r="C670" s="2" t="s">
        <v>57</v>
      </c>
      <c r="D670" s="2" t="str">
        <f t="shared" si="2"/>
        <v>Guadalajara</v>
      </c>
      <c r="E670" s="2" t="s">
        <v>66</v>
      </c>
      <c r="F670" s="2" t="str">
        <f>IFERROR(__xludf.DUMMYFUNCTION("SPLIT(E670, ""-"")"),"Tablet")</f>
        <v>Tablet</v>
      </c>
      <c r="G670" s="2" t="str">
        <f>IFERROR(__xludf.DUMMYFUNCTION("""COMPUTED_VALUE"""),"Estándar")</f>
        <v>Estándar</v>
      </c>
      <c r="H670" s="2" t="str">
        <f>IFERROR(__xludf.DUMMYFUNCTION("""COMPUTED_VALUE"""),"4GB")</f>
        <v>4GB</v>
      </c>
      <c r="I670" s="17">
        <v>625.26</v>
      </c>
      <c r="J670" s="6">
        <v>5.0</v>
      </c>
      <c r="K670" s="17">
        <v>3126.3</v>
      </c>
      <c r="L670" s="2" t="s">
        <v>2080</v>
      </c>
      <c r="M670" s="2" t="s">
        <v>2081</v>
      </c>
      <c r="N670" s="2" t="s">
        <v>2082</v>
      </c>
    </row>
    <row r="671" ht="15.75" customHeight="1">
      <c r="A671" s="18">
        <v>45649.0</v>
      </c>
      <c r="B671" s="16" t="str">
        <f t="shared" si="1"/>
        <v>December</v>
      </c>
      <c r="C671" s="2" t="s">
        <v>9</v>
      </c>
      <c r="D671" s="2" t="str">
        <f t="shared" si="2"/>
        <v>Monterrey</v>
      </c>
      <c r="E671" s="2" t="s">
        <v>316</v>
      </c>
      <c r="F671" s="2" t="str">
        <f>IFERROR(__xludf.DUMMYFUNCTION("SPLIT(E671, ""-"")"),"Tablet")</f>
        <v>Tablet</v>
      </c>
      <c r="G671" s="2" t="str">
        <f>IFERROR(__xludf.DUMMYFUNCTION("""COMPUTED_VALUE"""),"Pro")</f>
        <v>Pro</v>
      </c>
      <c r="H671" s="2" t="str">
        <f>IFERROR(__xludf.DUMMYFUNCTION("""COMPUTED_VALUE"""),"32GB")</f>
        <v>32GB</v>
      </c>
      <c r="I671" s="17">
        <v>784.39</v>
      </c>
      <c r="J671" s="6">
        <v>1.0</v>
      </c>
      <c r="K671" s="17">
        <v>784.39</v>
      </c>
      <c r="L671" s="2" t="s">
        <v>2083</v>
      </c>
      <c r="M671" s="2" t="s">
        <v>2084</v>
      </c>
      <c r="N671" s="2" t="s">
        <v>2085</v>
      </c>
    </row>
    <row r="672" ht="15.75" customHeight="1">
      <c r="A672" s="18">
        <v>45649.0</v>
      </c>
      <c r="B672" s="16" t="str">
        <f t="shared" si="1"/>
        <v>December</v>
      </c>
      <c r="C672" s="2" t="s">
        <v>57</v>
      </c>
      <c r="D672" s="2" t="str">
        <f t="shared" si="2"/>
        <v>Guadalajara</v>
      </c>
      <c r="E672" s="2" t="s">
        <v>289</v>
      </c>
      <c r="F672" s="2" t="str">
        <f>IFERROR(__xludf.DUMMYFUNCTION("SPLIT(E672, ""-"")"),"Teléfono")</f>
        <v>Teléfono</v>
      </c>
      <c r="G672" s="2" t="str">
        <f>IFERROR(__xludf.DUMMYFUNCTION("""COMPUTED_VALUE"""),"Gama alta")</f>
        <v>Gama alta</v>
      </c>
      <c r="H672" s="2" t="str">
        <f>IFERROR(__xludf.DUMMYFUNCTION("""COMPUTED_VALUE"""),"16GB")</f>
        <v>16GB</v>
      </c>
      <c r="I672" s="17">
        <v>1719.53</v>
      </c>
      <c r="J672" s="6">
        <v>2.0</v>
      </c>
      <c r="K672" s="17">
        <v>3439.06</v>
      </c>
      <c r="L672" s="2" t="s">
        <v>2086</v>
      </c>
      <c r="M672" s="2" t="s">
        <v>2087</v>
      </c>
      <c r="N672" s="2" t="s">
        <v>2088</v>
      </c>
    </row>
    <row r="673" ht="15.75" customHeight="1">
      <c r="A673" s="18">
        <v>45649.0</v>
      </c>
      <c r="B673" s="16" t="str">
        <f t="shared" si="1"/>
        <v>December</v>
      </c>
      <c r="C673" s="2" t="s">
        <v>14</v>
      </c>
      <c r="D673" s="2" t="str">
        <f t="shared" si="2"/>
        <v>Bogotá</v>
      </c>
      <c r="E673" s="2" t="s">
        <v>58</v>
      </c>
      <c r="F673" s="2" t="str">
        <f>IFERROR(__xludf.DUMMYFUNCTION("SPLIT(E673, ""-"")"),"Auriculares")</f>
        <v>Auriculares</v>
      </c>
      <c r="G673" s="2" t="str">
        <f>IFERROR(__xludf.DUMMYFUNCTION("""COMPUTED_VALUE"""),"Bluetooth")</f>
        <v>Bluetooth</v>
      </c>
      <c r="H673" s="2" t="str">
        <f>IFERROR(__xludf.DUMMYFUNCTION("""COMPUTED_VALUE"""),"4GB")</f>
        <v>4GB</v>
      </c>
      <c r="I673" s="17">
        <v>861.73</v>
      </c>
      <c r="J673" s="6">
        <v>5.0</v>
      </c>
      <c r="K673" s="17">
        <v>4308.65</v>
      </c>
      <c r="L673" s="2" t="s">
        <v>2089</v>
      </c>
      <c r="M673" s="2" t="s">
        <v>2090</v>
      </c>
      <c r="N673" s="2" t="s">
        <v>2091</v>
      </c>
    </row>
    <row r="674" ht="15.75" customHeight="1">
      <c r="A674" s="18">
        <v>45649.0</v>
      </c>
      <c r="B674" s="16" t="str">
        <f t="shared" si="1"/>
        <v>December</v>
      </c>
      <c r="C674" s="2" t="s">
        <v>14</v>
      </c>
      <c r="D674" s="2" t="str">
        <f t="shared" si="2"/>
        <v>Bogotá</v>
      </c>
      <c r="E674" s="2" t="s">
        <v>252</v>
      </c>
      <c r="F674" s="2" t="str">
        <f>IFERROR(__xludf.DUMMYFUNCTION("SPLIT(E674, ""-"")"),"Auriculares")</f>
        <v>Auriculares</v>
      </c>
      <c r="G674" s="2" t="str">
        <f>IFERROR(__xludf.DUMMYFUNCTION("""COMPUTED_VALUE"""),"Bluetooth")</f>
        <v>Bluetooth</v>
      </c>
      <c r="H674" s="2" t="str">
        <f>IFERROR(__xludf.DUMMYFUNCTION("""COMPUTED_VALUE"""),"8GB")</f>
        <v>8GB</v>
      </c>
      <c r="I674" s="17">
        <v>988.8</v>
      </c>
      <c r="J674" s="6">
        <v>5.0</v>
      </c>
      <c r="K674" s="17">
        <v>4944.0</v>
      </c>
      <c r="L674" s="2" t="s">
        <v>2092</v>
      </c>
      <c r="M674" s="2" t="s">
        <v>2093</v>
      </c>
      <c r="N674" s="2" t="s">
        <v>2094</v>
      </c>
    </row>
    <row r="675" ht="15.75" customHeight="1">
      <c r="A675" s="18">
        <v>45649.0</v>
      </c>
      <c r="B675" s="16" t="str">
        <f t="shared" si="1"/>
        <v>December</v>
      </c>
      <c r="C675" s="2" t="s">
        <v>9</v>
      </c>
      <c r="D675" s="2" t="str">
        <f t="shared" si="2"/>
        <v>Monterrey</v>
      </c>
      <c r="E675" s="2" t="s">
        <v>308</v>
      </c>
      <c r="F675" s="2" t="str">
        <f>IFERROR(__xludf.DUMMYFUNCTION("SPLIT(E675, ""-"")"),"Laptop")</f>
        <v>Laptop</v>
      </c>
      <c r="G675" s="2" t="str">
        <f>IFERROR(__xludf.DUMMYFUNCTION("""COMPUTED_VALUE"""),"Ultraliviana")</f>
        <v>Ultraliviana</v>
      </c>
      <c r="H675" s="2" t="str">
        <f>IFERROR(__xludf.DUMMYFUNCTION("""COMPUTED_VALUE"""),"32GB")</f>
        <v>32GB</v>
      </c>
      <c r="I675" s="17">
        <v>1696.63</v>
      </c>
      <c r="J675" s="6">
        <v>4.0</v>
      </c>
      <c r="K675" s="17">
        <v>6786.52</v>
      </c>
      <c r="L675" s="2" t="s">
        <v>2095</v>
      </c>
      <c r="M675" s="2" t="s">
        <v>2096</v>
      </c>
      <c r="N675" s="2" t="s">
        <v>2097</v>
      </c>
    </row>
    <row r="676" ht="15.75" customHeight="1">
      <c r="A676" s="18">
        <v>45649.0</v>
      </c>
      <c r="B676" s="16" t="str">
        <f t="shared" si="1"/>
        <v>December</v>
      </c>
      <c r="C676" s="3" t="s">
        <v>29</v>
      </c>
      <c r="D676" s="2" t="str">
        <f t="shared" si="2"/>
        <v>Ciudad De Mexico</v>
      </c>
      <c r="E676" s="2" t="s">
        <v>88</v>
      </c>
      <c r="F676" s="2" t="str">
        <f>IFERROR(__xludf.DUMMYFUNCTION("SPLIT(E676, ""-"")"),"Laptop")</f>
        <v>Laptop</v>
      </c>
      <c r="G676" s="2" t="str">
        <f>IFERROR(__xludf.DUMMYFUNCTION("""COMPUTED_VALUE"""),"Gaming")</f>
        <v>Gaming</v>
      </c>
      <c r="H676" s="2" t="str">
        <f>IFERROR(__xludf.DUMMYFUNCTION("""COMPUTED_VALUE"""),"32GB")</f>
        <v>32GB</v>
      </c>
      <c r="I676" s="17">
        <v>1663.22</v>
      </c>
      <c r="J676" s="6">
        <v>5.0</v>
      </c>
      <c r="K676" s="17">
        <v>8316.1</v>
      </c>
      <c r="L676" s="2" t="s">
        <v>2098</v>
      </c>
      <c r="M676" s="2" t="s">
        <v>2099</v>
      </c>
      <c r="N676" s="2" t="s">
        <v>2100</v>
      </c>
    </row>
    <row r="677" ht="15.75" customHeight="1">
      <c r="A677" s="18">
        <v>45649.0</v>
      </c>
      <c r="B677" s="16" t="str">
        <f t="shared" si="1"/>
        <v>December</v>
      </c>
      <c r="C677" s="2" t="s">
        <v>9</v>
      </c>
      <c r="D677" s="2" t="str">
        <f t="shared" si="2"/>
        <v>Monterrey</v>
      </c>
      <c r="E677" s="2" t="s">
        <v>269</v>
      </c>
      <c r="F677" s="2" t="str">
        <f>IFERROR(__xludf.DUMMYFUNCTION("SPLIT(E677, ""-"")"),"Teléfono")</f>
        <v>Teléfono</v>
      </c>
      <c r="G677" s="2" t="str">
        <f>IFERROR(__xludf.DUMMYFUNCTION("""COMPUTED_VALUE"""),"Gama baja")</f>
        <v>Gama baja</v>
      </c>
      <c r="H677" s="2" t="str">
        <f>IFERROR(__xludf.DUMMYFUNCTION("""COMPUTED_VALUE"""),"32GB")</f>
        <v>32GB</v>
      </c>
      <c r="I677" s="17">
        <v>1991.97</v>
      </c>
      <c r="J677" s="6">
        <v>3.0</v>
      </c>
      <c r="K677" s="17">
        <v>5975.91</v>
      </c>
      <c r="L677" s="2" t="s">
        <v>2101</v>
      </c>
      <c r="M677" s="2" t="s">
        <v>2102</v>
      </c>
      <c r="N677" s="2" t="s">
        <v>2103</v>
      </c>
    </row>
    <row r="678" ht="15.75" customHeight="1">
      <c r="A678" s="18">
        <v>45649.0</v>
      </c>
      <c r="B678" s="16" t="str">
        <f t="shared" si="1"/>
        <v>December</v>
      </c>
      <c r="C678" s="3" t="s">
        <v>29</v>
      </c>
      <c r="D678" s="2" t="str">
        <f t="shared" si="2"/>
        <v>Ciudad De Mexico</v>
      </c>
      <c r="E678" s="2" t="s">
        <v>83</v>
      </c>
      <c r="F678" s="2" t="str">
        <f>IFERROR(__xludf.DUMMYFUNCTION("SPLIT(E678, ""-"")"),"Teléfono")</f>
        <v>Teléfono</v>
      </c>
      <c r="G678" s="2" t="str">
        <f>IFERROR(__xludf.DUMMYFUNCTION("""COMPUTED_VALUE"""),"Gama media")</f>
        <v>Gama media</v>
      </c>
      <c r="H678" s="2" t="str">
        <f>IFERROR(__xludf.DUMMYFUNCTION("""COMPUTED_VALUE"""),"32GB")</f>
        <v>32GB</v>
      </c>
      <c r="I678" s="17">
        <v>1918.04</v>
      </c>
      <c r="J678" s="6">
        <v>5.0</v>
      </c>
      <c r="K678" s="17">
        <v>9590.2</v>
      </c>
      <c r="L678" s="2" t="s">
        <v>2104</v>
      </c>
      <c r="M678" s="2" t="s">
        <v>2105</v>
      </c>
      <c r="N678" s="2" t="s">
        <v>2106</v>
      </c>
    </row>
    <row r="679" ht="15.75" customHeight="1">
      <c r="A679" s="18">
        <v>45649.0</v>
      </c>
      <c r="B679" s="16" t="str">
        <f t="shared" si="1"/>
        <v>December</v>
      </c>
      <c r="C679" s="2" t="s">
        <v>74</v>
      </c>
      <c r="D679" s="2" t="str">
        <f t="shared" si="2"/>
        <v>Cali</v>
      </c>
      <c r="E679" s="2" t="s">
        <v>35</v>
      </c>
      <c r="F679" s="2" t="str">
        <f>IFERROR(__xludf.DUMMYFUNCTION("SPLIT(E679, ""-"")"),"Tablet")</f>
        <v>Tablet</v>
      </c>
      <c r="G679" s="2" t="str">
        <f>IFERROR(__xludf.DUMMYFUNCTION("""COMPUTED_VALUE"""),"Pro")</f>
        <v>Pro</v>
      </c>
      <c r="H679" s="2" t="str">
        <f>IFERROR(__xludf.DUMMYFUNCTION("""COMPUTED_VALUE"""),"4GB")</f>
        <v>4GB</v>
      </c>
      <c r="I679" s="17">
        <v>2115.54</v>
      </c>
      <c r="J679" s="6">
        <v>5.0</v>
      </c>
      <c r="K679" s="17">
        <v>10577.7</v>
      </c>
      <c r="L679" s="2" t="s">
        <v>2107</v>
      </c>
      <c r="M679" s="2" t="s">
        <v>2108</v>
      </c>
      <c r="N679" s="2" t="s">
        <v>2109</v>
      </c>
    </row>
    <row r="680" ht="15.75" customHeight="1">
      <c r="A680" s="18">
        <v>45649.0</v>
      </c>
      <c r="B680" s="16" t="str">
        <f t="shared" si="1"/>
        <v>December</v>
      </c>
      <c r="C680" s="2" t="s">
        <v>34</v>
      </c>
      <c r="D680" s="2" t="str">
        <f t="shared" si="2"/>
        <v>Medellín</v>
      </c>
      <c r="E680" s="2" t="s">
        <v>151</v>
      </c>
      <c r="F680" s="2" t="str">
        <f>IFERROR(__xludf.DUMMYFUNCTION("SPLIT(E680, ""-"")"),"Laptop")</f>
        <v>Laptop</v>
      </c>
      <c r="G680" s="2" t="str">
        <f>IFERROR(__xludf.DUMMYFUNCTION("""COMPUTED_VALUE"""),"Gaming")</f>
        <v>Gaming</v>
      </c>
      <c r="H680" s="2" t="str">
        <f>IFERROR(__xludf.DUMMYFUNCTION("""COMPUTED_VALUE"""),"8GB")</f>
        <v>8GB</v>
      </c>
      <c r="I680" s="17">
        <v>2469.75</v>
      </c>
      <c r="J680" s="6">
        <v>5.0</v>
      </c>
      <c r="K680" s="17">
        <v>12348.75</v>
      </c>
      <c r="L680" s="2" t="s">
        <v>2110</v>
      </c>
      <c r="M680" s="2" t="s">
        <v>2111</v>
      </c>
      <c r="N680" s="2" t="s">
        <v>2112</v>
      </c>
    </row>
    <row r="681" ht="15.75" customHeight="1">
      <c r="A681" s="18">
        <v>45649.0</v>
      </c>
      <c r="B681" s="16" t="str">
        <f t="shared" si="1"/>
        <v>December</v>
      </c>
      <c r="C681" s="2" t="s">
        <v>9</v>
      </c>
      <c r="D681" s="2" t="str">
        <f t="shared" si="2"/>
        <v>Monterrey</v>
      </c>
      <c r="E681" s="2" t="s">
        <v>75</v>
      </c>
      <c r="F681" s="2" t="str">
        <f>IFERROR(__xludf.DUMMYFUNCTION("SPLIT(E681, ""-"")"),"Tablet")</f>
        <v>Tablet</v>
      </c>
      <c r="G681" s="2" t="str">
        <f>IFERROR(__xludf.DUMMYFUNCTION("""COMPUTED_VALUE"""),"Mini")</f>
        <v>Mini</v>
      </c>
      <c r="H681" s="2" t="str">
        <f>IFERROR(__xludf.DUMMYFUNCTION("""COMPUTED_VALUE"""),"32GB")</f>
        <v>32GB</v>
      </c>
      <c r="I681" s="17">
        <v>2174.89</v>
      </c>
      <c r="J681" s="6">
        <v>2.0</v>
      </c>
      <c r="K681" s="17">
        <v>4349.78</v>
      </c>
      <c r="L681" s="2" t="s">
        <v>2113</v>
      </c>
      <c r="M681" s="2" t="s">
        <v>2114</v>
      </c>
      <c r="N681" s="2" t="s">
        <v>2115</v>
      </c>
    </row>
    <row r="682" ht="15.75" customHeight="1">
      <c r="A682" s="18">
        <v>45649.0</v>
      </c>
      <c r="B682" s="16" t="str">
        <f t="shared" si="1"/>
        <v>December</v>
      </c>
      <c r="C682" s="2" t="s">
        <v>9</v>
      </c>
      <c r="D682" s="2" t="str">
        <f t="shared" si="2"/>
        <v>Monterrey</v>
      </c>
      <c r="E682" s="2" t="s">
        <v>316</v>
      </c>
      <c r="F682" s="2" t="str">
        <f>IFERROR(__xludf.DUMMYFUNCTION("SPLIT(E682, ""-"")"),"Tablet")</f>
        <v>Tablet</v>
      </c>
      <c r="G682" s="2" t="str">
        <f>IFERROR(__xludf.DUMMYFUNCTION("""COMPUTED_VALUE"""),"Pro")</f>
        <v>Pro</v>
      </c>
      <c r="H682" s="2" t="str">
        <f>IFERROR(__xludf.DUMMYFUNCTION("""COMPUTED_VALUE"""),"32GB")</f>
        <v>32GB</v>
      </c>
      <c r="I682" s="17">
        <v>1148.92</v>
      </c>
      <c r="J682" s="6">
        <v>4.0</v>
      </c>
      <c r="K682" s="17">
        <v>4595.68</v>
      </c>
      <c r="L682" s="2" t="s">
        <v>2116</v>
      </c>
      <c r="M682" s="2" t="s">
        <v>2117</v>
      </c>
      <c r="N682" s="2" t="s">
        <v>2118</v>
      </c>
    </row>
    <row r="683" ht="15.75" customHeight="1">
      <c r="A683" s="18">
        <v>45650.0</v>
      </c>
      <c r="B683" s="16" t="str">
        <f t="shared" si="1"/>
        <v>December</v>
      </c>
      <c r="C683" s="3" t="s">
        <v>29</v>
      </c>
      <c r="D683" s="2" t="str">
        <f t="shared" si="2"/>
        <v>Ciudad De Mexico</v>
      </c>
      <c r="E683" s="2" t="s">
        <v>79</v>
      </c>
      <c r="F683" s="2" t="str">
        <f>IFERROR(__xludf.DUMMYFUNCTION("SPLIT(E683, ""-"")"),"Laptop")</f>
        <v>Laptop</v>
      </c>
      <c r="G683" s="2" t="str">
        <f>IFERROR(__xludf.DUMMYFUNCTION("""COMPUTED_VALUE"""),"Oficina")</f>
        <v>Oficina</v>
      </c>
      <c r="H683" s="2" t="str">
        <f>IFERROR(__xludf.DUMMYFUNCTION("""COMPUTED_VALUE"""),"16GB")</f>
        <v>16GB</v>
      </c>
      <c r="I683" s="17">
        <v>1247.53</v>
      </c>
      <c r="J683" s="6">
        <v>4.0</v>
      </c>
      <c r="K683" s="17">
        <v>4990.12</v>
      </c>
      <c r="L683" s="2" t="s">
        <v>2119</v>
      </c>
      <c r="M683" s="2" t="s">
        <v>2120</v>
      </c>
      <c r="N683" s="2" t="s">
        <v>2121</v>
      </c>
    </row>
    <row r="684" ht="15.75" customHeight="1">
      <c r="A684" s="18">
        <v>45650.0</v>
      </c>
      <c r="B684" s="16" t="str">
        <f t="shared" si="1"/>
        <v>December</v>
      </c>
      <c r="C684" s="2" t="s">
        <v>34</v>
      </c>
      <c r="D684" s="2" t="str">
        <f t="shared" si="2"/>
        <v>Medellín</v>
      </c>
      <c r="E684" s="2" t="s">
        <v>370</v>
      </c>
      <c r="F684" s="2" t="str">
        <f>IFERROR(__xludf.DUMMYFUNCTION("SPLIT(E684, ""-"")"),"Teléfono")</f>
        <v>Teléfono</v>
      </c>
      <c r="G684" s="2" t="str">
        <f>IFERROR(__xludf.DUMMYFUNCTION("""COMPUTED_VALUE"""),"Gama media")</f>
        <v>Gama media</v>
      </c>
      <c r="H684" s="2" t="str">
        <f>IFERROR(__xludf.DUMMYFUNCTION("""COMPUTED_VALUE"""),"16GB")</f>
        <v>16GB</v>
      </c>
      <c r="I684" s="17">
        <v>758.87</v>
      </c>
      <c r="J684" s="6">
        <v>3.0</v>
      </c>
      <c r="K684" s="17">
        <v>2276.61</v>
      </c>
      <c r="L684" s="2" t="s">
        <v>2122</v>
      </c>
      <c r="M684" s="2" t="s">
        <v>2123</v>
      </c>
      <c r="N684" s="8" t="s">
        <v>2124</v>
      </c>
    </row>
    <row r="685" ht="15.75" customHeight="1">
      <c r="A685" s="18">
        <v>45650.0</v>
      </c>
      <c r="B685" s="16" t="str">
        <f t="shared" si="1"/>
        <v>December</v>
      </c>
      <c r="C685" s="2" t="s">
        <v>74</v>
      </c>
      <c r="D685" s="2" t="str">
        <f t="shared" si="2"/>
        <v>Cali</v>
      </c>
      <c r="E685" s="2" t="s">
        <v>119</v>
      </c>
      <c r="F685" s="2" t="str">
        <f>IFERROR(__xludf.DUMMYFUNCTION("SPLIT(E685, ""-"")"),"Teléfono")</f>
        <v>Teléfono</v>
      </c>
      <c r="G685" s="2" t="str">
        <f>IFERROR(__xludf.DUMMYFUNCTION("""COMPUTED_VALUE"""),"Gama alta")</f>
        <v>Gama alta</v>
      </c>
      <c r="H685" s="2" t="str">
        <f>IFERROR(__xludf.DUMMYFUNCTION("""COMPUTED_VALUE"""),"8GB")</f>
        <v>8GB</v>
      </c>
      <c r="I685" s="17">
        <v>2441.7</v>
      </c>
      <c r="J685" s="6">
        <v>2.0</v>
      </c>
      <c r="K685" s="17">
        <v>4883.4</v>
      </c>
      <c r="L685" s="2" t="s">
        <v>2125</v>
      </c>
      <c r="M685" s="2" t="s">
        <v>2126</v>
      </c>
      <c r="N685" s="2" t="s">
        <v>2127</v>
      </c>
    </row>
    <row r="686" ht="15.75" customHeight="1">
      <c r="A686" s="18">
        <v>45650.0</v>
      </c>
      <c r="B686" s="16" t="str">
        <f t="shared" si="1"/>
        <v>December</v>
      </c>
      <c r="C686" s="2" t="s">
        <v>14</v>
      </c>
      <c r="D686" s="2" t="str">
        <f t="shared" si="2"/>
        <v>Bogotá</v>
      </c>
      <c r="E686" s="2" t="s">
        <v>66</v>
      </c>
      <c r="F686" s="2" t="str">
        <f>IFERROR(__xludf.DUMMYFUNCTION("SPLIT(E686, ""-"")"),"Tablet")</f>
        <v>Tablet</v>
      </c>
      <c r="G686" s="2" t="str">
        <f>IFERROR(__xludf.DUMMYFUNCTION("""COMPUTED_VALUE"""),"Estándar")</f>
        <v>Estándar</v>
      </c>
      <c r="H686" s="2" t="str">
        <f>IFERROR(__xludf.DUMMYFUNCTION("""COMPUTED_VALUE"""),"4GB")</f>
        <v>4GB</v>
      </c>
      <c r="I686" s="17">
        <v>366.39</v>
      </c>
      <c r="J686" s="6">
        <v>4.0</v>
      </c>
      <c r="K686" s="17">
        <v>1465.56</v>
      </c>
      <c r="L686" s="2" t="s">
        <v>2128</v>
      </c>
      <c r="M686" s="2" t="s">
        <v>2129</v>
      </c>
      <c r="N686" s="2" t="s">
        <v>2130</v>
      </c>
    </row>
    <row r="687" ht="15.75" customHeight="1">
      <c r="A687" s="18">
        <v>45650.0</v>
      </c>
      <c r="B687" s="16" t="str">
        <f t="shared" si="1"/>
        <v>December</v>
      </c>
      <c r="C687" s="2" t="s">
        <v>14</v>
      </c>
      <c r="D687" s="2" t="str">
        <f t="shared" si="2"/>
        <v>Bogotá</v>
      </c>
      <c r="E687" s="2" t="s">
        <v>49</v>
      </c>
      <c r="F687" s="2" t="str">
        <f>IFERROR(__xludf.DUMMYFUNCTION("SPLIT(E687, ""-"")"),"Tablet")</f>
        <v>Tablet</v>
      </c>
      <c r="G687" s="2" t="str">
        <f>IFERROR(__xludf.DUMMYFUNCTION("""COMPUTED_VALUE"""),"Estándar")</f>
        <v>Estándar</v>
      </c>
      <c r="H687" s="2" t="str">
        <f>IFERROR(__xludf.DUMMYFUNCTION("""COMPUTED_VALUE"""),"32GB")</f>
        <v>32GB</v>
      </c>
      <c r="I687" s="17">
        <v>306.11</v>
      </c>
      <c r="J687" s="6">
        <v>2.0</v>
      </c>
      <c r="K687" s="17">
        <v>612.22</v>
      </c>
      <c r="L687" s="2" t="s">
        <v>2131</v>
      </c>
      <c r="M687" s="2" t="s">
        <v>2132</v>
      </c>
      <c r="N687" s="2" t="s">
        <v>2133</v>
      </c>
    </row>
    <row r="688" ht="15.75" customHeight="1">
      <c r="A688" s="18">
        <v>45650.0</v>
      </c>
      <c r="B688" s="16" t="str">
        <f t="shared" si="1"/>
        <v>December</v>
      </c>
      <c r="C688" s="3" t="s">
        <v>29</v>
      </c>
      <c r="D688" s="2" t="str">
        <f t="shared" si="2"/>
        <v>Ciudad De Mexico</v>
      </c>
      <c r="E688" s="2" t="s">
        <v>119</v>
      </c>
      <c r="F688" s="2" t="str">
        <f>IFERROR(__xludf.DUMMYFUNCTION("SPLIT(E688, ""-"")"),"Teléfono")</f>
        <v>Teléfono</v>
      </c>
      <c r="G688" s="2" t="str">
        <f>IFERROR(__xludf.DUMMYFUNCTION("""COMPUTED_VALUE"""),"Gama alta")</f>
        <v>Gama alta</v>
      </c>
      <c r="H688" s="2" t="str">
        <f>IFERROR(__xludf.DUMMYFUNCTION("""COMPUTED_VALUE"""),"8GB")</f>
        <v>8GB</v>
      </c>
      <c r="I688" s="17">
        <v>988.44</v>
      </c>
      <c r="J688" s="6">
        <v>2.0</v>
      </c>
      <c r="K688" s="17">
        <v>1976.88</v>
      </c>
      <c r="L688" s="2" t="s">
        <v>2134</v>
      </c>
      <c r="M688" s="2" t="s">
        <v>2135</v>
      </c>
      <c r="N688" s="2" t="s">
        <v>2136</v>
      </c>
    </row>
    <row r="689" ht="15.75" customHeight="1">
      <c r="A689" s="18">
        <v>45650.0</v>
      </c>
      <c r="B689" s="16" t="str">
        <f t="shared" si="1"/>
        <v>December</v>
      </c>
      <c r="C689" s="2" t="s">
        <v>14</v>
      </c>
      <c r="D689" s="2" t="str">
        <f t="shared" si="2"/>
        <v>Bogotá</v>
      </c>
      <c r="E689" s="2" t="s">
        <v>279</v>
      </c>
      <c r="F689" s="2" t="str">
        <f>IFERROR(__xludf.DUMMYFUNCTION("SPLIT(E689, ""-"")"),"Tablet")</f>
        <v>Tablet</v>
      </c>
      <c r="G689" s="2" t="str">
        <f>IFERROR(__xludf.DUMMYFUNCTION("""COMPUTED_VALUE"""),"Pro")</f>
        <v>Pro</v>
      </c>
      <c r="H689" s="2" t="str">
        <f>IFERROR(__xludf.DUMMYFUNCTION("""COMPUTED_VALUE"""),"16GB")</f>
        <v>16GB</v>
      </c>
      <c r="I689" s="17">
        <v>2003.92</v>
      </c>
      <c r="J689" s="6">
        <v>2.0</v>
      </c>
      <c r="K689" s="17">
        <v>4007.84</v>
      </c>
      <c r="L689" s="2" t="s">
        <v>2137</v>
      </c>
      <c r="M689" s="2" t="s">
        <v>2138</v>
      </c>
      <c r="N689" s="2" t="s">
        <v>2139</v>
      </c>
    </row>
    <row r="690" ht="15.75" customHeight="1">
      <c r="A690" s="18">
        <v>45650.0</v>
      </c>
      <c r="B690" s="16" t="str">
        <f t="shared" si="1"/>
        <v>December</v>
      </c>
      <c r="C690" s="2" t="s">
        <v>34</v>
      </c>
      <c r="D690" s="2" t="str">
        <f t="shared" si="2"/>
        <v>Medellín</v>
      </c>
      <c r="E690" s="2" t="s">
        <v>119</v>
      </c>
      <c r="F690" s="2" t="str">
        <f>IFERROR(__xludf.DUMMYFUNCTION("SPLIT(E690, ""-"")"),"Teléfono")</f>
        <v>Teléfono</v>
      </c>
      <c r="G690" s="2" t="str">
        <f>IFERROR(__xludf.DUMMYFUNCTION("""COMPUTED_VALUE"""),"Gama alta")</f>
        <v>Gama alta</v>
      </c>
      <c r="H690" s="2" t="str">
        <f>IFERROR(__xludf.DUMMYFUNCTION("""COMPUTED_VALUE"""),"8GB")</f>
        <v>8GB</v>
      </c>
      <c r="I690" s="17">
        <v>519.68</v>
      </c>
      <c r="J690" s="6">
        <v>5.0</v>
      </c>
      <c r="K690" s="17">
        <v>2598.4</v>
      </c>
      <c r="L690" s="2" t="s">
        <v>2140</v>
      </c>
      <c r="M690" s="2" t="s">
        <v>2141</v>
      </c>
      <c r="N690" s="2" t="s">
        <v>2142</v>
      </c>
    </row>
    <row r="691" ht="15.75" customHeight="1">
      <c r="A691" s="18">
        <v>45650.0</v>
      </c>
      <c r="B691" s="16" t="str">
        <f t="shared" si="1"/>
        <v>December</v>
      </c>
      <c r="C691" s="2" t="s">
        <v>34</v>
      </c>
      <c r="D691" s="2" t="str">
        <f t="shared" si="2"/>
        <v>Medellín</v>
      </c>
      <c r="E691" s="2" t="s">
        <v>115</v>
      </c>
      <c r="F691" s="2" t="str">
        <f>IFERROR(__xludf.DUMMYFUNCTION("SPLIT(E691, ""-"")"),"Teléfono")</f>
        <v>Teléfono</v>
      </c>
      <c r="G691" s="2" t="str">
        <f>IFERROR(__xludf.DUMMYFUNCTION("""COMPUTED_VALUE"""),"Gama baja")</f>
        <v>Gama baja</v>
      </c>
      <c r="H691" s="2" t="str">
        <f>IFERROR(__xludf.DUMMYFUNCTION("""COMPUTED_VALUE"""),"16GB")</f>
        <v>16GB</v>
      </c>
      <c r="I691" s="17">
        <v>920.71</v>
      </c>
      <c r="J691" s="6">
        <v>4.0</v>
      </c>
      <c r="K691" s="17">
        <v>3682.84</v>
      </c>
      <c r="L691" s="2" t="s">
        <v>2143</v>
      </c>
      <c r="M691" s="2" t="s">
        <v>2144</v>
      </c>
      <c r="N691" s="2" t="s">
        <v>2145</v>
      </c>
    </row>
    <row r="692" ht="15.75" customHeight="1">
      <c r="A692" s="18">
        <v>45650.0</v>
      </c>
      <c r="B692" s="16" t="str">
        <f t="shared" si="1"/>
        <v>December</v>
      </c>
      <c r="C692" s="3" t="s">
        <v>29</v>
      </c>
      <c r="D692" s="2" t="str">
        <f t="shared" si="2"/>
        <v>Ciudad De Mexico</v>
      </c>
      <c r="E692" s="2" t="s">
        <v>83</v>
      </c>
      <c r="F692" s="2" t="str">
        <f>IFERROR(__xludf.DUMMYFUNCTION("SPLIT(E692, ""-"")"),"Teléfono")</f>
        <v>Teléfono</v>
      </c>
      <c r="G692" s="2" t="str">
        <f>IFERROR(__xludf.DUMMYFUNCTION("""COMPUTED_VALUE"""),"Gama media")</f>
        <v>Gama media</v>
      </c>
      <c r="H692" s="2" t="str">
        <f>IFERROR(__xludf.DUMMYFUNCTION("""COMPUTED_VALUE"""),"32GB")</f>
        <v>32GB</v>
      </c>
      <c r="I692" s="17">
        <v>1089.03</v>
      </c>
      <c r="J692" s="6">
        <v>5.0</v>
      </c>
      <c r="K692" s="17">
        <v>5445.15</v>
      </c>
      <c r="L692" s="2" t="s">
        <v>2146</v>
      </c>
      <c r="M692" s="2" t="s">
        <v>2147</v>
      </c>
      <c r="N692" s="2" t="s">
        <v>2148</v>
      </c>
    </row>
    <row r="693" ht="15.75" customHeight="1">
      <c r="A693" s="18">
        <v>45650.0</v>
      </c>
      <c r="B693" s="16" t="str">
        <f t="shared" si="1"/>
        <v>December</v>
      </c>
      <c r="C693" s="2" t="s">
        <v>34</v>
      </c>
      <c r="D693" s="2" t="str">
        <f t="shared" si="2"/>
        <v>Medellín</v>
      </c>
      <c r="E693" s="2" t="s">
        <v>230</v>
      </c>
      <c r="F693" s="2" t="str">
        <f>IFERROR(__xludf.DUMMYFUNCTION("SPLIT(E693, ""-"")"),"Tablet")</f>
        <v>Tablet</v>
      </c>
      <c r="G693" s="2" t="str">
        <f>IFERROR(__xludf.DUMMYFUNCTION("""COMPUTED_VALUE"""),"Mini")</f>
        <v>Mini</v>
      </c>
      <c r="H693" s="2" t="str">
        <f>IFERROR(__xludf.DUMMYFUNCTION("""COMPUTED_VALUE"""),"16GB")</f>
        <v>16GB</v>
      </c>
      <c r="I693" s="17">
        <v>500.74</v>
      </c>
      <c r="J693" s="6">
        <v>4.0</v>
      </c>
      <c r="K693" s="17">
        <v>2002.96</v>
      </c>
      <c r="L693" s="2" t="s">
        <v>2149</v>
      </c>
      <c r="M693" s="2" t="s">
        <v>2150</v>
      </c>
      <c r="N693" s="2" t="s">
        <v>2151</v>
      </c>
    </row>
    <row r="694" ht="15.75" customHeight="1">
      <c r="A694" s="18">
        <v>45651.0</v>
      </c>
      <c r="B694" s="16" t="str">
        <f t="shared" si="1"/>
        <v>December</v>
      </c>
      <c r="C694" s="2" t="s">
        <v>9</v>
      </c>
      <c r="D694" s="2" t="str">
        <f t="shared" si="2"/>
        <v>Monterrey</v>
      </c>
      <c r="E694" s="2" t="s">
        <v>161</v>
      </c>
      <c r="F694" s="2" t="str">
        <f>IFERROR(__xludf.DUMMYFUNCTION("SPLIT(E694, ""-"")"),"Laptop")</f>
        <v>Laptop</v>
      </c>
      <c r="G694" s="2" t="str">
        <f>IFERROR(__xludf.DUMMYFUNCTION("""COMPUTED_VALUE"""),"Oficina")</f>
        <v>Oficina</v>
      </c>
      <c r="H694" s="2" t="str">
        <f>IFERROR(__xludf.DUMMYFUNCTION("""COMPUTED_VALUE"""),"32GB")</f>
        <v>32GB</v>
      </c>
      <c r="I694" s="17">
        <v>1047.88</v>
      </c>
      <c r="J694" s="6">
        <v>3.0</v>
      </c>
      <c r="K694" s="17">
        <v>3143.64</v>
      </c>
      <c r="L694" s="2" t="s">
        <v>2152</v>
      </c>
      <c r="M694" s="2" t="s">
        <v>2153</v>
      </c>
      <c r="N694" s="2" t="s">
        <v>2154</v>
      </c>
    </row>
    <row r="695" ht="15.75" customHeight="1">
      <c r="A695" s="18">
        <v>45651.0</v>
      </c>
      <c r="B695" s="16" t="str">
        <f t="shared" si="1"/>
        <v>December</v>
      </c>
      <c r="C695" s="2" t="s">
        <v>74</v>
      </c>
      <c r="D695" s="2" t="str">
        <f t="shared" si="2"/>
        <v>Cali</v>
      </c>
      <c r="E695" s="2" t="s">
        <v>137</v>
      </c>
      <c r="F695" s="2" t="str">
        <f>IFERROR(__xludf.DUMMYFUNCTION("SPLIT(E695, ""-"")"),"Auriculares")</f>
        <v>Auriculares</v>
      </c>
      <c r="G695" s="2" t="str">
        <f>IFERROR(__xludf.DUMMYFUNCTION("""COMPUTED_VALUE"""),"Con cable")</f>
        <v>Con cable</v>
      </c>
      <c r="H695" s="2" t="str">
        <f>IFERROR(__xludf.DUMMYFUNCTION("""COMPUTED_VALUE"""),"16GB")</f>
        <v>16GB</v>
      </c>
      <c r="I695" s="17">
        <v>228.56</v>
      </c>
      <c r="J695" s="6">
        <v>3.0</v>
      </c>
      <c r="K695" s="17">
        <v>685.68</v>
      </c>
      <c r="L695" s="2" t="s">
        <v>2155</v>
      </c>
      <c r="M695" s="2" t="s">
        <v>2156</v>
      </c>
      <c r="N695" s="2" t="s">
        <v>2157</v>
      </c>
    </row>
    <row r="696" ht="15.75" customHeight="1">
      <c r="A696" s="18">
        <v>45651.0</v>
      </c>
      <c r="B696" s="16" t="str">
        <f t="shared" si="1"/>
        <v>December</v>
      </c>
      <c r="C696" s="2" t="s">
        <v>74</v>
      </c>
      <c r="D696" s="2" t="str">
        <f t="shared" si="2"/>
        <v>Cali</v>
      </c>
      <c r="E696" s="2" t="s">
        <v>316</v>
      </c>
      <c r="F696" s="2" t="str">
        <f>IFERROR(__xludf.DUMMYFUNCTION("SPLIT(E696, ""-"")"),"Tablet")</f>
        <v>Tablet</v>
      </c>
      <c r="G696" s="2" t="str">
        <f>IFERROR(__xludf.DUMMYFUNCTION("""COMPUTED_VALUE"""),"Pro")</f>
        <v>Pro</v>
      </c>
      <c r="H696" s="2" t="str">
        <f>IFERROR(__xludf.DUMMYFUNCTION("""COMPUTED_VALUE"""),"32GB")</f>
        <v>32GB</v>
      </c>
      <c r="I696" s="17">
        <v>1068.29</v>
      </c>
      <c r="J696" s="6">
        <v>4.0</v>
      </c>
      <c r="K696" s="17">
        <v>4273.16</v>
      </c>
      <c r="L696" s="2" t="s">
        <v>2158</v>
      </c>
      <c r="M696" s="2" t="s">
        <v>2159</v>
      </c>
      <c r="N696" s="2" t="s">
        <v>2160</v>
      </c>
    </row>
    <row r="697" ht="15.75" customHeight="1">
      <c r="A697" s="18">
        <v>45651.0</v>
      </c>
      <c r="B697" s="16" t="str">
        <f t="shared" si="1"/>
        <v>December</v>
      </c>
      <c r="C697" s="2" t="s">
        <v>9</v>
      </c>
      <c r="D697" s="2" t="str">
        <f t="shared" si="2"/>
        <v>Monterrey</v>
      </c>
      <c r="E697" s="2" t="s">
        <v>396</v>
      </c>
      <c r="F697" s="2" t="str">
        <f>IFERROR(__xludf.DUMMYFUNCTION("SPLIT(E697, ""-"")"),"Laptop")</f>
        <v>Laptop</v>
      </c>
      <c r="G697" s="2" t="str">
        <f>IFERROR(__xludf.DUMMYFUNCTION("""COMPUTED_VALUE"""),"Gaming")</f>
        <v>Gaming</v>
      </c>
      <c r="H697" s="2" t="str">
        <f>IFERROR(__xludf.DUMMYFUNCTION("""COMPUTED_VALUE"""),"4GB")</f>
        <v>4GB</v>
      </c>
      <c r="I697" s="17">
        <v>173.94</v>
      </c>
      <c r="J697" s="6">
        <v>5.0</v>
      </c>
      <c r="K697" s="17">
        <v>869.7</v>
      </c>
      <c r="L697" s="2" t="s">
        <v>2161</v>
      </c>
      <c r="M697" s="2" t="s">
        <v>2162</v>
      </c>
      <c r="N697" s="2" t="s">
        <v>2163</v>
      </c>
    </row>
    <row r="698" ht="15.75" customHeight="1">
      <c r="A698" s="18">
        <v>45651.0</v>
      </c>
      <c r="B698" s="16" t="str">
        <f t="shared" si="1"/>
        <v>December</v>
      </c>
      <c r="C698" s="2" t="s">
        <v>14</v>
      </c>
      <c r="D698" s="2" t="str">
        <f t="shared" si="2"/>
        <v>Bogotá</v>
      </c>
      <c r="E698" s="2" t="s">
        <v>169</v>
      </c>
      <c r="F698" s="2" t="str">
        <f>IFERROR(__xludf.DUMMYFUNCTION("SPLIT(E698, ""-"")"),"Teléfono")</f>
        <v>Teléfono</v>
      </c>
      <c r="G698" s="2" t="str">
        <f>IFERROR(__xludf.DUMMYFUNCTION("""COMPUTED_VALUE"""),"Gama baja")</f>
        <v>Gama baja</v>
      </c>
      <c r="H698" s="2" t="str">
        <f>IFERROR(__xludf.DUMMYFUNCTION("""COMPUTED_VALUE"""),"4GB")</f>
        <v>4GB</v>
      </c>
      <c r="I698" s="17">
        <v>2271.98</v>
      </c>
      <c r="J698" s="6">
        <v>5.0</v>
      </c>
      <c r="K698" s="17">
        <v>11359.9</v>
      </c>
      <c r="L698" s="2" t="s">
        <v>2164</v>
      </c>
      <c r="M698" s="2" t="s">
        <v>2165</v>
      </c>
      <c r="N698" s="2" t="s">
        <v>2166</v>
      </c>
    </row>
    <row r="699" ht="15.75" customHeight="1">
      <c r="A699" s="18">
        <v>45651.0</v>
      </c>
      <c r="B699" s="16" t="str">
        <f t="shared" si="1"/>
        <v>December</v>
      </c>
      <c r="C699" s="2" t="s">
        <v>74</v>
      </c>
      <c r="D699" s="2" t="str">
        <f t="shared" si="2"/>
        <v>Cali</v>
      </c>
      <c r="E699" s="2" t="s">
        <v>119</v>
      </c>
      <c r="F699" s="2" t="str">
        <f>IFERROR(__xludf.DUMMYFUNCTION("SPLIT(E699, ""-"")"),"Teléfono")</f>
        <v>Teléfono</v>
      </c>
      <c r="G699" s="2" t="str">
        <f>IFERROR(__xludf.DUMMYFUNCTION("""COMPUTED_VALUE"""),"Gama alta")</f>
        <v>Gama alta</v>
      </c>
      <c r="H699" s="2" t="str">
        <f>IFERROR(__xludf.DUMMYFUNCTION("""COMPUTED_VALUE"""),"8GB")</f>
        <v>8GB</v>
      </c>
      <c r="I699" s="17">
        <v>2461.45</v>
      </c>
      <c r="J699" s="6">
        <v>4.0</v>
      </c>
      <c r="K699" s="17">
        <v>9845.8</v>
      </c>
      <c r="L699" s="2" t="s">
        <v>2167</v>
      </c>
      <c r="M699" s="2" t="s">
        <v>2168</v>
      </c>
      <c r="N699" s="2" t="s">
        <v>2169</v>
      </c>
    </row>
    <row r="700" ht="15.75" customHeight="1">
      <c r="A700" s="18">
        <v>45651.0</v>
      </c>
      <c r="B700" s="16" t="str">
        <f t="shared" si="1"/>
        <v>December</v>
      </c>
      <c r="C700" s="2" t="s">
        <v>74</v>
      </c>
      <c r="D700" s="2" t="str">
        <f t="shared" si="2"/>
        <v>Cali</v>
      </c>
      <c r="E700" s="2" t="s">
        <v>92</v>
      </c>
      <c r="F700" s="2" t="str">
        <f>IFERROR(__xludf.DUMMYFUNCTION("SPLIT(E700, ""-"")"),"Tablet")</f>
        <v>Tablet</v>
      </c>
      <c r="G700" s="2" t="str">
        <f>IFERROR(__xludf.DUMMYFUNCTION("""COMPUTED_VALUE"""),"Mini")</f>
        <v>Mini</v>
      </c>
      <c r="H700" s="2" t="str">
        <f>IFERROR(__xludf.DUMMYFUNCTION("""COMPUTED_VALUE"""),"8GB")</f>
        <v>8GB</v>
      </c>
      <c r="I700" s="17">
        <v>848.42</v>
      </c>
      <c r="J700" s="6">
        <v>3.0</v>
      </c>
      <c r="K700" s="17">
        <v>2545.26</v>
      </c>
      <c r="L700" s="2" t="s">
        <v>2170</v>
      </c>
      <c r="M700" s="2" t="s">
        <v>2171</v>
      </c>
      <c r="N700" s="8" t="s">
        <v>2172</v>
      </c>
    </row>
    <row r="701" ht="15.75" customHeight="1">
      <c r="A701" s="18">
        <v>45651.0</v>
      </c>
      <c r="B701" s="16" t="str">
        <f t="shared" si="1"/>
        <v>December</v>
      </c>
      <c r="C701" s="2" t="s">
        <v>9</v>
      </c>
      <c r="D701" s="2" t="str">
        <f t="shared" si="2"/>
        <v>Monterrey</v>
      </c>
      <c r="E701" s="2" t="s">
        <v>427</v>
      </c>
      <c r="F701" s="2" t="str">
        <f>IFERROR(__xludf.DUMMYFUNCTION("SPLIT(E701, ""-"")"),"Teléfono")</f>
        <v>Teléfono</v>
      </c>
      <c r="G701" s="2" t="str">
        <f>IFERROR(__xludf.DUMMYFUNCTION("""COMPUTED_VALUE"""),"Gama alta")</f>
        <v>Gama alta</v>
      </c>
      <c r="H701" s="2" t="str">
        <f>IFERROR(__xludf.DUMMYFUNCTION("""COMPUTED_VALUE"""),"4GB")</f>
        <v>4GB</v>
      </c>
      <c r="I701" s="17">
        <v>2334.37</v>
      </c>
      <c r="J701" s="6">
        <v>1.0</v>
      </c>
      <c r="K701" s="17">
        <v>2334.37</v>
      </c>
      <c r="L701" s="2" t="s">
        <v>2173</v>
      </c>
      <c r="M701" s="2" t="s">
        <v>2174</v>
      </c>
      <c r="N701" s="2" t="s">
        <v>2175</v>
      </c>
    </row>
    <row r="702" ht="15.75" customHeight="1">
      <c r="A702" s="18">
        <v>45651.0</v>
      </c>
      <c r="B702" s="16" t="str">
        <f t="shared" si="1"/>
        <v>December</v>
      </c>
      <c r="C702" s="2" t="s">
        <v>74</v>
      </c>
      <c r="D702" s="2" t="str">
        <f t="shared" si="2"/>
        <v>Cali</v>
      </c>
      <c r="E702" s="2" t="s">
        <v>230</v>
      </c>
      <c r="F702" s="2" t="str">
        <f>IFERROR(__xludf.DUMMYFUNCTION("SPLIT(E702, ""-"")"),"Tablet")</f>
        <v>Tablet</v>
      </c>
      <c r="G702" s="2" t="str">
        <f>IFERROR(__xludf.DUMMYFUNCTION("""COMPUTED_VALUE"""),"Mini")</f>
        <v>Mini</v>
      </c>
      <c r="H702" s="2" t="str">
        <f>IFERROR(__xludf.DUMMYFUNCTION("""COMPUTED_VALUE"""),"16GB")</f>
        <v>16GB</v>
      </c>
      <c r="I702" s="17">
        <v>648.35</v>
      </c>
      <c r="J702" s="6">
        <v>5.0</v>
      </c>
      <c r="K702" s="17">
        <v>3241.75</v>
      </c>
      <c r="L702" s="2" t="s">
        <v>2176</v>
      </c>
      <c r="M702" s="2" t="s">
        <v>2177</v>
      </c>
      <c r="N702" s="2" t="s">
        <v>2178</v>
      </c>
    </row>
    <row r="703" ht="15.75" customHeight="1">
      <c r="A703" s="18">
        <v>45652.0</v>
      </c>
      <c r="B703" s="16" t="str">
        <f t="shared" si="1"/>
        <v>December</v>
      </c>
      <c r="C703" s="2" t="s">
        <v>74</v>
      </c>
      <c r="D703" s="2" t="str">
        <f t="shared" si="2"/>
        <v>Cali</v>
      </c>
      <c r="E703" s="2" t="s">
        <v>183</v>
      </c>
      <c r="F703" s="2" t="str">
        <f>IFERROR(__xludf.DUMMYFUNCTION("SPLIT(E703, ""-"")"),"Auriculares")</f>
        <v>Auriculares</v>
      </c>
      <c r="G703" s="2" t="str">
        <f>IFERROR(__xludf.DUMMYFUNCTION("""COMPUTED_VALUE"""),"Cancelaci√≥n de ruido")</f>
        <v>Cancelaci√≥n de ruido</v>
      </c>
      <c r="H703" s="2" t="str">
        <f>IFERROR(__xludf.DUMMYFUNCTION("""COMPUTED_VALUE"""),"16GB")</f>
        <v>16GB</v>
      </c>
      <c r="I703" s="17">
        <v>1794.09</v>
      </c>
      <c r="J703" s="6">
        <v>5.0</v>
      </c>
      <c r="K703" s="17">
        <v>8970.45</v>
      </c>
      <c r="L703" s="2" t="s">
        <v>2179</v>
      </c>
      <c r="M703" s="2" t="s">
        <v>2180</v>
      </c>
      <c r="N703" s="2" t="s">
        <v>2181</v>
      </c>
    </row>
    <row r="704" ht="15.75" customHeight="1">
      <c r="A704" s="18">
        <v>45652.0</v>
      </c>
      <c r="B704" s="16" t="str">
        <f t="shared" si="1"/>
        <v>December</v>
      </c>
      <c r="C704" s="3" t="s">
        <v>29</v>
      </c>
      <c r="D704" s="2" t="str">
        <f t="shared" si="2"/>
        <v>Ciudad De Mexico</v>
      </c>
      <c r="E704" s="2" t="s">
        <v>22</v>
      </c>
      <c r="F704" s="2" t="str">
        <f>IFERROR(__xludf.DUMMYFUNCTION("SPLIT(E704, ""-"")"),"Tablet")</f>
        <v>Tablet</v>
      </c>
      <c r="G704" s="2" t="str">
        <f>IFERROR(__xludf.DUMMYFUNCTION("""COMPUTED_VALUE"""),"Estándar")</f>
        <v>Estándar</v>
      </c>
      <c r="H704" s="2" t="str">
        <f>IFERROR(__xludf.DUMMYFUNCTION("""COMPUTED_VALUE"""),"16GB")</f>
        <v>16GB</v>
      </c>
      <c r="I704" s="17">
        <v>658.24</v>
      </c>
      <c r="J704" s="6">
        <v>3.0</v>
      </c>
      <c r="K704" s="17">
        <v>1974.72</v>
      </c>
      <c r="L704" s="2" t="s">
        <v>2182</v>
      </c>
      <c r="M704" s="2" t="s">
        <v>2183</v>
      </c>
      <c r="N704" s="2" t="s">
        <v>2184</v>
      </c>
    </row>
    <row r="705" ht="15.75" customHeight="1">
      <c r="A705" s="18">
        <v>45652.0</v>
      </c>
      <c r="B705" s="16" t="str">
        <f t="shared" si="1"/>
        <v>December</v>
      </c>
      <c r="C705" s="2" t="s">
        <v>57</v>
      </c>
      <c r="D705" s="2" t="str">
        <f t="shared" si="2"/>
        <v>Guadalajara</v>
      </c>
      <c r="E705" s="2" t="s">
        <v>75</v>
      </c>
      <c r="F705" s="2" t="str">
        <f>IFERROR(__xludf.DUMMYFUNCTION("SPLIT(E705, ""-"")"),"Tablet")</f>
        <v>Tablet</v>
      </c>
      <c r="G705" s="2" t="str">
        <f>IFERROR(__xludf.DUMMYFUNCTION("""COMPUTED_VALUE"""),"Mini")</f>
        <v>Mini</v>
      </c>
      <c r="H705" s="2" t="str">
        <f>IFERROR(__xludf.DUMMYFUNCTION("""COMPUTED_VALUE"""),"32GB")</f>
        <v>32GB</v>
      </c>
      <c r="I705" s="17">
        <v>824.79</v>
      </c>
      <c r="J705" s="6">
        <v>4.0</v>
      </c>
      <c r="K705" s="17">
        <v>3299.16</v>
      </c>
      <c r="L705" s="2" t="s">
        <v>2185</v>
      </c>
      <c r="M705" s="2" t="s">
        <v>2186</v>
      </c>
      <c r="N705" s="2" t="s">
        <v>2187</v>
      </c>
    </row>
    <row r="706" ht="15.75" customHeight="1">
      <c r="A706" s="18">
        <v>45652.0</v>
      </c>
      <c r="B706" s="16" t="str">
        <f t="shared" si="1"/>
        <v>December</v>
      </c>
      <c r="C706" s="2" t="s">
        <v>34</v>
      </c>
      <c r="D706" s="2" t="str">
        <f t="shared" si="2"/>
        <v>Medellín</v>
      </c>
      <c r="E706" s="2" t="s">
        <v>386</v>
      </c>
      <c r="F706" s="2" t="str">
        <f>IFERROR(__xludf.DUMMYFUNCTION("SPLIT(E706, ""-"")"),"Auriculares")</f>
        <v>Auriculares</v>
      </c>
      <c r="G706" s="2" t="str">
        <f>IFERROR(__xludf.DUMMYFUNCTION("""COMPUTED_VALUE"""),"Cancelación de ruido")</f>
        <v>Cancelación de ruido</v>
      </c>
      <c r="H706" s="2" t="str">
        <f>IFERROR(__xludf.DUMMYFUNCTION("""COMPUTED_VALUE"""),"4GB")</f>
        <v>4GB</v>
      </c>
      <c r="I706" s="17">
        <v>1056.48</v>
      </c>
      <c r="J706" s="6">
        <v>4.0</v>
      </c>
      <c r="K706" s="17">
        <v>4225.92</v>
      </c>
      <c r="L706" s="2" t="s">
        <v>2188</v>
      </c>
      <c r="M706" s="2" t="s">
        <v>2189</v>
      </c>
      <c r="N706" s="2" t="s">
        <v>2190</v>
      </c>
    </row>
    <row r="707" ht="15.75" customHeight="1">
      <c r="A707" s="18">
        <v>45652.0</v>
      </c>
      <c r="B707" s="16" t="str">
        <f t="shared" si="1"/>
        <v>December</v>
      </c>
      <c r="C707" s="2" t="s">
        <v>9</v>
      </c>
      <c r="D707" s="2" t="str">
        <f t="shared" si="2"/>
        <v>Monterrey</v>
      </c>
      <c r="E707" s="2" t="s">
        <v>370</v>
      </c>
      <c r="F707" s="2" t="str">
        <f>IFERROR(__xludf.DUMMYFUNCTION("SPLIT(E707, ""-"")"),"Teléfono")</f>
        <v>Teléfono</v>
      </c>
      <c r="G707" s="2" t="str">
        <f>IFERROR(__xludf.DUMMYFUNCTION("""COMPUTED_VALUE"""),"Gama media")</f>
        <v>Gama media</v>
      </c>
      <c r="H707" s="2" t="str">
        <f>IFERROR(__xludf.DUMMYFUNCTION("""COMPUTED_VALUE"""),"16GB")</f>
        <v>16GB</v>
      </c>
      <c r="I707" s="17">
        <v>932.02</v>
      </c>
      <c r="J707" s="6">
        <v>4.0</v>
      </c>
      <c r="K707" s="17">
        <v>3728.08</v>
      </c>
      <c r="L707" s="2" t="s">
        <v>2191</v>
      </c>
      <c r="M707" s="2" t="s">
        <v>2192</v>
      </c>
      <c r="N707" s="2" t="s">
        <v>2193</v>
      </c>
    </row>
    <row r="708" ht="15.75" customHeight="1">
      <c r="A708" s="18">
        <v>45652.0</v>
      </c>
      <c r="B708" s="16" t="str">
        <f t="shared" si="1"/>
        <v>December</v>
      </c>
      <c r="C708" s="2" t="s">
        <v>57</v>
      </c>
      <c r="D708" s="2" t="str">
        <f t="shared" si="2"/>
        <v>Guadalajara</v>
      </c>
      <c r="E708" s="2" t="s">
        <v>341</v>
      </c>
      <c r="F708" s="2" t="str">
        <f>IFERROR(__xludf.DUMMYFUNCTION("SPLIT(E708, ""-"")"),"Laptop")</f>
        <v>Laptop</v>
      </c>
      <c r="G708" s="2" t="str">
        <f>IFERROR(__xludf.DUMMYFUNCTION("""COMPUTED_VALUE"""),"Ultraliviana")</f>
        <v>Ultraliviana</v>
      </c>
      <c r="H708" s="2" t="str">
        <f>IFERROR(__xludf.DUMMYFUNCTION("""COMPUTED_VALUE"""),"8GB")</f>
        <v>8GB</v>
      </c>
      <c r="I708" s="17">
        <v>2140.33</v>
      </c>
      <c r="J708" s="6">
        <v>5.0</v>
      </c>
      <c r="K708" s="17">
        <v>10701.65</v>
      </c>
      <c r="L708" s="2" t="s">
        <v>2194</v>
      </c>
      <c r="M708" s="2" t="s">
        <v>2195</v>
      </c>
      <c r="N708" s="2" t="s">
        <v>2196</v>
      </c>
    </row>
    <row r="709" ht="15.75" customHeight="1">
      <c r="A709" s="18">
        <v>45652.0</v>
      </c>
      <c r="B709" s="16" t="str">
        <f t="shared" si="1"/>
        <v>December</v>
      </c>
      <c r="C709" s="2" t="s">
        <v>74</v>
      </c>
      <c r="D709" s="2" t="str">
        <f t="shared" si="2"/>
        <v>Cali</v>
      </c>
      <c r="E709" s="2" t="s">
        <v>39</v>
      </c>
      <c r="F709" s="2" t="str">
        <f>IFERROR(__xludf.DUMMYFUNCTION("SPLIT(E709, ""-"")"),"Auriculares")</f>
        <v>Auriculares</v>
      </c>
      <c r="G709" s="2" t="str">
        <f>IFERROR(__xludf.DUMMYFUNCTION("""COMPUTED_VALUE"""),"Con cable")</f>
        <v>Con cable</v>
      </c>
      <c r="H709" s="2" t="str">
        <f>IFERROR(__xludf.DUMMYFUNCTION("""COMPUTED_VALUE"""),"8GB")</f>
        <v>8GB</v>
      </c>
      <c r="I709" s="17">
        <v>554.25</v>
      </c>
      <c r="J709" s="6">
        <v>1.0</v>
      </c>
      <c r="K709" s="17">
        <v>554.25</v>
      </c>
      <c r="L709" s="2" t="s">
        <v>2197</v>
      </c>
      <c r="M709" s="2" t="s">
        <v>2198</v>
      </c>
      <c r="N709" s="2" t="s">
        <v>2199</v>
      </c>
    </row>
    <row r="710" ht="15.75" customHeight="1">
      <c r="A710" s="18">
        <v>45652.0</v>
      </c>
      <c r="B710" s="16" t="str">
        <f t="shared" si="1"/>
        <v>December</v>
      </c>
      <c r="C710" s="2" t="s">
        <v>57</v>
      </c>
      <c r="D710" s="2" t="str">
        <f t="shared" si="2"/>
        <v>Guadalajara</v>
      </c>
      <c r="E710" s="2" t="s">
        <v>370</v>
      </c>
      <c r="F710" s="2" t="str">
        <f>IFERROR(__xludf.DUMMYFUNCTION("SPLIT(E710, ""-"")"),"Teléfono")</f>
        <v>Teléfono</v>
      </c>
      <c r="G710" s="2" t="str">
        <f>IFERROR(__xludf.DUMMYFUNCTION("""COMPUTED_VALUE"""),"Gama media")</f>
        <v>Gama media</v>
      </c>
      <c r="H710" s="2" t="str">
        <f>IFERROR(__xludf.DUMMYFUNCTION("""COMPUTED_VALUE"""),"16GB")</f>
        <v>16GB</v>
      </c>
      <c r="I710" s="17">
        <v>173.36</v>
      </c>
      <c r="J710" s="6">
        <v>2.0</v>
      </c>
      <c r="K710" s="17">
        <v>346.72</v>
      </c>
      <c r="L710" s="2" t="s">
        <v>2200</v>
      </c>
      <c r="M710" s="2" t="s">
        <v>2201</v>
      </c>
      <c r="N710" s="2" t="s">
        <v>2202</v>
      </c>
    </row>
    <row r="711" ht="15.75" customHeight="1">
      <c r="A711" s="18">
        <v>45653.0</v>
      </c>
      <c r="B711" s="16" t="str">
        <f t="shared" si="1"/>
        <v>December</v>
      </c>
      <c r="C711" s="3" t="s">
        <v>29</v>
      </c>
      <c r="D711" s="2" t="str">
        <f t="shared" si="2"/>
        <v>Ciudad De Mexico</v>
      </c>
      <c r="E711" s="2" t="s">
        <v>10</v>
      </c>
      <c r="F711" s="2" t="str">
        <f>IFERROR(__xludf.DUMMYFUNCTION("SPLIT(E711, ""-"")"),"Tablet")</f>
        <v>Tablet</v>
      </c>
      <c r="G711" s="2" t="str">
        <f>IFERROR(__xludf.DUMMYFUNCTION("""COMPUTED_VALUE"""),"Estándar")</f>
        <v>Estándar</v>
      </c>
      <c r="H711" s="2" t="str">
        <f>IFERROR(__xludf.DUMMYFUNCTION("""COMPUTED_VALUE"""),"8GB")</f>
        <v>8GB</v>
      </c>
      <c r="I711" s="17">
        <v>1935.15</v>
      </c>
      <c r="J711" s="6">
        <v>3.0</v>
      </c>
      <c r="K711" s="17">
        <v>5805.45</v>
      </c>
      <c r="L711" s="2" t="s">
        <v>2203</v>
      </c>
      <c r="M711" s="2" t="s">
        <v>2204</v>
      </c>
      <c r="N711" s="2" t="s">
        <v>2205</v>
      </c>
    </row>
    <row r="712" ht="15.75" customHeight="1">
      <c r="A712" s="18">
        <v>45653.0</v>
      </c>
      <c r="B712" s="16" t="str">
        <f t="shared" si="1"/>
        <v>December</v>
      </c>
      <c r="C712" s="2" t="s">
        <v>74</v>
      </c>
      <c r="D712" s="2" t="str">
        <f t="shared" si="2"/>
        <v>Cali</v>
      </c>
      <c r="E712" s="2" t="s">
        <v>427</v>
      </c>
      <c r="F712" s="2" t="str">
        <f>IFERROR(__xludf.DUMMYFUNCTION("SPLIT(E712, ""-"")"),"Teléfono")</f>
        <v>Teléfono</v>
      </c>
      <c r="G712" s="2" t="str">
        <f>IFERROR(__xludf.DUMMYFUNCTION("""COMPUTED_VALUE"""),"Gama alta")</f>
        <v>Gama alta</v>
      </c>
      <c r="H712" s="2" t="str">
        <f>IFERROR(__xludf.DUMMYFUNCTION("""COMPUTED_VALUE"""),"4GB")</f>
        <v>4GB</v>
      </c>
      <c r="I712" s="17">
        <v>1923.56</v>
      </c>
      <c r="J712" s="6">
        <v>4.0</v>
      </c>
      <c r="K712" s="17">
        <v>7694.24</v>
      </c>
      <c r="L712" s="2" t="s">
        <v>2206</v>
      </c>
      <c r="M712" s="2" t="s">
        <v>2207</v>
      </c>
      <c r="N712" s="2" t="s">
        <v>2208</v>
      </c>
    </row>
    <row r="713" ht="15.75" customHeight="1">
      <c r="A713" s="18">
        <v>45653.0</v>
      </c>
      <c r="B713" s="16" t="str">
        <f t="shared" si="1"/>
        <v>December</v>
      </c>
      <c r="C713" s="2" t="s">
        <v>74</v>
      </c>
      <c r="D713" s="2" t="str">
        <f t="shared" si="2"/>
        <v>Cali</v>
      </c>
      <c r="E713" s="2" t="s">
        <v>386</v>
      </c>
      <c r="F713" s="2" t="str">
        <f>IFERROR(__xludf.DUMMYFUNCTION("SPLIT(E713, ""-"")"),"Auriculares")</f>
        <v>Auriculares</v>
      </c>
      <c r="G713" s="2" t="str">
        <f>IFERROR(__xludf.DUMMYFUNCTION("""COMPUTED_VALUE"""),"Cancelación de ruido")</f>
        <v>Cancelación de ruido</v>
      </c>
      <c r="H713" s="2" t="str">
        <f>IFERROR(__xludf.DUMMYFUNCTION("""COMPUTED_VALUE"""),"4GB")</f>
        <v>4GB</v>
      </c>
      <c r="I713" s="17">
        <v>2263.78</v>
      </c>
      <c r="J713" s="6">
        <v>5.0</v>
      </c>
      <c r="K713" s="17">
        <v>11318.9</v>
      </c>
      <c r="L713" s="2" t="s">
        <v>2209</v>
      </c>
      <c r="M713" s="2" t="s">
        <v>2210</v>
      </c>
      <c r="N713" s="2" t="s">
        <v>2211</v>
      </c>
    </row>
    <row r="714" ht="15.75" customHeight="1">
      <c r="A714" s="18">
        <v>45653.0</v>
      </c>
      <c r="B714" s="16" t="str">
        <f t="shared" si="1"/>
        <v>December</v>
      </c>
      <c r="C714" s="2" t="s">
        <v>14</v>
      </c>
      <c r="D714" s="2" t="str">
        <f t="shared" si="2"/>
        <v>Bogotá</v>
      </c>
      <c r="E714" s="2" t="s">
        <v>53</v>
      </c>
      <c r="F714" s="2" t="str">
        <f>IFERROR(__xludf.DUMMYFUNCTION("SPLIT(E714, ""-"")"),"Laptop")</f>
        <v>Laptop</v>
      </c>
      <c r="G714" s="2" t="str">
        <f>IFERROR(__xludf.DUMMYFUNCTION("""COMPUTED_VALUE"""),"Oficina")</f>
        <v>Oficina</v>
      </c>
      <c r="H714" s="2" t="str">
        <f>IFERROR(__xludf.DUMMYFUNCTION("""COMPUTED_VALUE"""),"8GB")</f>
        <v>8GB</v>
      </c>
      <c r="I714" s="17">
        <v>1831.56</v>
      </c>
      <c r="J714" s="6">
        <v>2.0</v>
      </c>
      <c r="K714" s="17">
        <v>3663.12</v>
      </c>
      <c r="L714" s="2" t="s">
        <v>2212</v>
      </c>
      <c r="M714" s="2" t="s">
        <v>2213</v>
      </c>
      <c r="N714" s="2" t="s">
        <v>2214</v>
      </c>
    </row>
    <row r="715" ht="15.75" customHeight="1">
      <c r="A715" s="18">
        <v>45653.0</v>
      </c>
      <c r="B715" s="16" t="str">
        <f t="shared" si="1"/>
        <v>December</v>
      </c>
      <c r="C715" s="2" t="s">
        <v>57</v>
      </c>
      <c r="D715" s="2" t="str">
        <f t="shared" si="2"/>
        <v>Guadalajara</v>
      </c>
      <c r="E715" s="2" t="s">
        <v>662</v>
      </c>
      <c r="F715" s="2" t="str">
        <f>IFERROR(__xludf.DUMMYFUNCTION("SPLIT(E715, ""-"")"),"Auriculares")</f>
        <v>Auriculares</v>
      </c>
      <c r="G715" s="2" t="str">
        <f>IFERROR(__xludf.DUMMYFUNCTION("""COMPUTED_VALUE"""),"Cancelación de ruido")</f>
        <v>Cancelación de ruido</v>
      </c>
      <c r="H715" s="2" t="str">
        <f>IFERROR(__xludf.DUMMYFUNCTION("""COMPUTED_VALUE"""),"32GB")</f>
        <v>32GB</v>
      </c>
      <c r="I715" s="17">
        <v>1191.71</v>
      </c>
      <c r="J715" s="6">
        <v>4.0</v>
      </c>
      <c r="K715" s="17">
        <v>4766.84</v>
      </c>
      <c r="L715" s="2" t="s">
        <v>2215</v>
      </c>
      <c r="M715" s="2" t="s">
        <v>2216</v>
      </c>
      <c r="N715" s="2" t="s">
        <v>2217</v>
      </c>
    </row>
    <row r="716" ht="15.75" customHeight="1">
      <c r="A716" s="18">
        <v>45653.0</v>
      </c>
      <c r="B716" s="16" t="str">
        <f t="shared" si="1"/>
        <v>December</v>
      </c>
      <c r="C716" s="2" t="s">
        <v>9</v>
      </c>
      <c r="D716" s="2" t="str">
        <f t="shared" si="2"/>
        <v>Monterrey</v>
      </c>
      <c r="E716" s="2" t="s">
        <v>79</v>
      </c>
      <c r="F716" s="2" t="str">
        <f>IFERROR(__xludf.DUMMYFUNCTION("SPLIT(E716, ""-"")"),"Laptop")</f>
        <v>Laptop</v>
      </c>
      <c r="G716" s="2" t="str">
        <f>IFERROR(__xludf.DUMMYFUNCTION("""COMPUTED_VALUE"""),"Oficina")</f>
        <v>Oficina</v>
      </c>
      <c r="H716" s="2" t="str">
        <f>IFERROR(__xludf.DUMMYFUNCTION("""COMPUTED_VALUE"""),"16GB")</f>
        <v>16GB</v>
      </c>
      <c r="I716" s="17">
        <v>314.84</v>
      </c>
      <c r="J716" s="6">
        <v>1.0</v>
      </c>
      <c r="K716" s="17">
        <v>314.84</v>
      </c>
      <c r="L716" s="2" t="s">
        <v>2218</v>
      </c>
      <c r="M716" s="2" t="s">
        <v>2219</v>
      </c>
      <c r="N716" s="8" t="s">
        <v>2220</v>
      </c>
    </row>
    <row r="717" ht="15.75" customHeight="1">
      <c r="A717" s="18">
        <v>45654.0</v>
      </c>
      <c r="B717" s="16" t="str">
        <f t="shared" si="1"/>
        <v>December</v>
      </c>
      <c r="C717" s="2" t="s">
        <v>9</v>
      </c>
      <c r="D717" s="2" t="str">
        <f t="shared" si="2"/>
        <v>Monterrey</v>
      </c>
      <c r="E717" s="2" t="s">
        <v>70</v>
      </c>
      <c r="F717" s="2" t="str">
        <f>IFERROR(__xludf.DUMMYFUNCTION("SPLIT(E717, ""-"")"),"Auriculares")</f>
        <v>Auriculares</v>
      </c>
      <c r="G717" s="2" t="str">
        <f>IFERROR(__xludf.DUMMYFUNCTION("""COMPUTED_VALUE"""),"Bluetooth")</f>
        <v>Bluetooth</v>
      </c>
      <c r="H717" s="2" t="str">
        <f>IFERROR(__xludf.DUMMYFUNCTION("""COMPUTED_VALUE"""),"16GB")</f>
        <v>16GB</v>
      </c>
      <c r="I717" s="17">
        <v>1724.31</v>
      </c>
      <c r="J717" s="6">
        <v>2.0</v>
      </c>
      <c r="K717" s="17">
        <v>3448.62</v>
      </c>
      <c r="L717" s="2" t="s">
        <v>2221</v>
      </c>
      <c r="M717" s="2" t="s">
        <v>2222</v>
      </c>
      <c r="N717" s="2" t="s">
        <v>2223</v>
      </c>
    </row>
    <row r="718" ht="15.75" customHeight="1">
      <c r="A718" s="18">
        <v>45654.0</v>
      </c>
      <c r="B718" s="16" t="str">
        <f t="shared" si="1"/>
        <v>December</v>
      </c>
      <c r="C718" s="2" t="s">
        <v>9</v>
      </c>
      <c r="D718" s="2" t="str">
        <f t="shared" si="2"/>
        <v>Monterrey</v>
      </c>
      <c r="E718" s="2" t="s">
        <v>62</v>
      </c>
      <c r="F718" s="2" t="str">
        <f>IFERROR(__xludf.DUMMYFUNCTION("SPLIT(E718, ""-"")"),"Laptop")</f>
        <v>Laptop</v>
      </c>
      <c r="G718" s="2" t="str">
        <f>IFERROR(__xludf.DUMMYFUNCTION("""COMPUTED_VALUE"""),"Ultraliviana")</f>
        <v>Ultraliviana</v>
      </c>
      <c r="H718" s="2" t="str">
        <f>IFERROR(__xludf.DUMMYFUNCTION("""COMPUTED_VALUE"""),"4GB")</f>
        <v>4GB</v>
      </c>
      <c r="I718" s="17">
        <v>372.92</v>
      </c>
      <c r="J718" s="6">
        <v>3.0</v>
      </c>
      <c r="K718" s="17">
        <v>1118.76</v>
      </c>
      <c r="L718" s="2" t="s">
        <v>2224</v>
      </c>
      <c r="M718" s="2" t="s">
        <v>2225</v>
      </c>
      <c r="N718" s="2" t="s">
        <v>2226</v>
      </c>
    </row>
    <row r="719" ht="15.75" customHeight="1">
      <c r="A719" s="18">
        <v>45654.0</v>
      </c>
      <c r="B719" s="16" t="str">
        <f t="shared" si="1"/>
        <v>December</v>
      </c>
      <c r="C719" s="2" t="s">
        <v>9</v>
      </c>
      <c r="D719" s="2" t="str">
        <f t="shared" si="2"/>
        <v>Monterrey</v>
      </c>
      <c r="E719" s="2" t="s">
        <v>137</v>
      </c>
      <c r="F719" s="2" t="str">
        <f>IFERROR(__xludf.DUMMYFUNCTION("SPLIT(E719, ""-"")"),"Auriculares")</f>
        <v>Auriculares</v>
      </c>
      <c r="G719" s="2" t="str">
        <f>IFERROR(__xludf.DUMMYFUNCTION("""COMPUTED_VALUE"""),"Con cable")</f>
        <v>Con cable</v>
      </c>
      <c r="H719" s="2" t="str">
        <f>IFERROR(__xludf.DUMMYFUNCTION("""COMPUTED_VALUE"""),"16GB")</f>
        <v>16GB</v>
      </c>
      <c r="I719" s="17">
        <v>589.92</v>
      </c>
      <c r="J719" s="6">
        <v>3.0</v>
      </c>
      <c r="K719" s="17">
        <v>1769.76</v>
      </c>
      <c r="L719" s="2" t="s">
        <v>2227</v>
      </c>
      <c r="M719" s="2" t="s">
        <v>2228</v>
      </c>
      <c r="N719" s="2" t="s">
        <v>2229</v>
      </c>
    </row>
    <row r="720" ht="15.75" customHeight="1">
      <c r="A720" s="18">
        <v>45654.0</v>
      </c>
      <c r="B720" s="16" t="str">
        <f t="shared" si="1"/>
        <v>December</v>
      </c>
      <c r="C720" s="2" t="s">
        <v>74</v>
      </c>
      <c r="D720" s="2" t="str">
        <f t="shared" si="2"/>
        <v>Cali</v>
      </c>
      <c r="E720" s="2" t="s">
        <v>161</v>
      </c>
      <c r="F720" s="2" t="str">
        <f>IFERROR(__xludf.DUMMYFUNCTION("SPLIT(E720, ""-"")"),"Laptop")</f>
        <v>Laptop</v>
      </c>
      <c r="G720" s="2" t="str">
        <f>IFERROR(__xludf.DUMMYFUNCTION("""COMPUTED_VALUE"""),"Oficina")</f>
        <v>Oficina</v>
      </c>
      <c r="H720" s="2" t="str">
        <f>IFERROR(__xludf.DUMMYFUNCTION("""COMPUTED_VALUE"""),"32GB")</f>
        <v>32GB</v>
      </c>
      <c r="I720" s="17">
        <v>702.77</v>
      </c>
      <c r="J720" s="6">
        <v>3.0</v>
      </c>
      <c r="K720" s="17">
        <v>2108.31</v>
      </c>
      <c r="L720" s="2" t="s">
        <v>2230</v>
      </c>
      <c r="M720" s="2" t="s">
        <v>2231</v>
      </c>
      <c r="N720" s="2" t="s">
        <v>2232</v>
      </c>
    </row>
    <row r="721" ht="15.75" customHeight="1">
      <c r="A721" s="18">
        <v>45654.0</v>
      </c>
      <c r="B721" s="16" t="str">
        <f t="shared" si="1"/>
        <v>December</v>
      </c>
      <c r="C721" s="3" t="s">
        <v>29</v>
      </c>
      <c r="D721" s="2" t="str">
        <f t="shared" si="2"/>
        <v>Ciudad De Mexico</v>
      </c>
      <c r="E721" s="2" t="s">
        <v>53</v>
      </c>
      <c r="F721" s="2" t="str">
        <f>IFERROR(__xludf.DUMMYFUNCTION("SPLIT(E721, ""-"")"),"Laptop")</f>
        <v>Laptop</v>
      </c>
      <c r="G721" s="2" t="str">
        <f>IFERROR(__xludf.DUMMYFUNCTION("""COMPUTED_VALUE"""),"Oficina")</f>
        <v>Oficina</v>
      </c>
      <c r="H721" s="2" t="str">
        <f>IFERROR(__xludf.DUMMYFUNCTION("""COMPUTED_VALUE"""),"8GB")</f>
        <v>8GB</v>
      </c>
      <c r="I721" s="17">
        <v>2261.12</v>
      </c>
      <c r="J721" s="6">
        <v>4.0</v>
      </c>
      <c r="K721" s="17">
        <v>9044.48</v>
      </c>
      <c r="L721" s="2" t="s">
        <v>2233</v>
      </c>
      <c r="M721" s="2" t="s">
        <v>2234</v>
      </c>
      <c r="N721" s="2" t="s">
        <v>2235</v>
      </c>
    </row>
    <row r="722" ht="15.75" customHeight="1">
      <c r="A722" s="18">
        <v>45654.0</v>
      </c>
      <c r="B722" s="16" t="str">
        <f t="shared" si="1"/>
        <v>December</v>
      </c>
      <c r="C722" s="2" t="s">
        <v>9</v>
      </c>
      <c r="D722" s="2" t="str">
        <f t="shared" si="2"/>
        <v>Monterrey</v>
      </c>
      <c r="E722" s="2" t="s">
        <v>137</v>
      </c>
      <c r="F722" s="2" t="str">
        <f>IFERROR(__xludf.DUMMYFUNCTION("SPLIT(E722, ""-"")"),"Auriculares")</f>
        <v>Auriculares</v>
      </c>
      <c r="G722" s="2" t="str">
        <f>IFERROR(__xludf.DUMMYFUNCTION("""COMPUTED_VALUE"""),"Con cable")</f>
        <v>Con cable</v>
      </c>
      <c r="H722" s="2" t="str">
        <f>IFERROR(__xludf.DUMMYFUNCTION("""COMPUTED_VALUE"""),"16GB")</f>
        <v>16GB</v>
      </c>
      <c r="I722" s="17">
        <v>1577.5</v>
      </c>
      <c r="J722" s="6">
        <v>4.0</v>
      </c>
      <c r="K722" s="17">
        <v>6310.0</v>
      </c>
      <c r="L722" s="2" t="s">
        <v>2236</v>
      </c>
      <c r="M722" s="2" t="s">
        <v>2237</v>
      </c>
      <c r="N722" s="2" t="s">
        <v>2238</v>
      </c>
    </row>
    <row r="723" ht="15.75" customHeight="1">
      <c r="A723" s="18">
        <v>45654.0</v>
      </c>
      <c r="B723" s="16" t="str">
        <f t="shared" si="1"/>
        <v>December</v>
      </c>
      <c r="C723" s="2" t="s">
        <v>34</v>
      </c>
      <c r="D723" s="2" t="str">
        <f t="shared" si="2"/>
        <v>Medellín</v>
      </c>
      <c r="E723" s="2" t="s">
        <v>169</v>
      </c>
      <c r="F723" s="2" t="str">
        <f>IFERROR(__xludf.DUMMYFUNCTION("SPLIT(E723, ""-"")"),"Teléfono")</f>
        <v>Teléfono</v>
      </c>
      <c r="G723" s="2" t="str">
        <f>IFERROR(__xludf.DUMMYFUNCTION("""COMPUTED_VALUE"""),"Gama baja")</f>
        <v>Gama baja</v>
      </c>
      <c r="H723" s="2" t="str">
        <f>IFERROR(__xludf.DUMMYFUNCTION("""COMPUTED_VALUE"""),"4GB")</f>
        <v>4GB</v>
      </c>
      <c r="I723" s="17">
        <v>211.08</v>
      </c>
      <c r="J723" s="6">
        <v>4.0</v>
      </c>
      <c r="K723" s="17">
        <v>844.32</v>
      </c>
      <c r="L723" s="2" t="s">
        <v>2239</v>
      </c>
      <c r="M723" s="2" t="s">
        <v>2240</v>
      </c>
      <c r="N723" s="2" t="s">
        <v>2241</v>
      </c>
    </row>
    <row r="724" ht="15.75" customHeight="1">
      <c r="A724" s="18">
        <v>45654.0</v>
      </c>
      <c r="B724" s="16" t="str">
        <f t="shared" si="1"/>
        <v>December</v>
      </c>
      <c r="C724" s="3" t="s">
        <v>29</v>
      </c>
      <c r="D724" s="2" t="str">
        <f t="shared" si="2"/>
        <v>Ciudad De Mexico</v>
      </c>
      <c r="E724" s="2" t="s">
        <v>308</v>
      </c>
      <c r="F724" s="2" t="str">
        <f>IFERROR(__xludf.DUMMYFUNCTION("SPLIT(E724, ""-"")"),"Laptop")</f>
        <v>Laptop</v>
      </c>
      <c r="G724" s="2" t="str">
        <f>IFERROR(__xludf.DUMMYFUNCTION("""COMPUTED_VALUE"""),"Ultraliviana")</f>
        <v>Ultraliviana</v>
      </c>
      <c r="H724" s="2" t="str">
        <f>IFERROR(__xludf.DUMMYFUNCTION("""COMPUTED_VALUE"""),"32GB")</f>
        <v>32GB</v>
      </c>
      <c r="I724" s="17">
        <v>1061.9</v>
      </c>
      <c r="J724" s="6">
        <v>4.0</v>
      </c>
      <c r="K724" s="17">
        <v>4247.6</v>
      </c>
      <c r="L724" s="2" t="s">
        <v>2242</v>
      </c>
      <c r="M724" s="2" t="s">
        <v>2243</v>
      </c>
      <c r="N724" s="2" t="s">
        <v>2244</v>
      </c>
    </row>
    <row r="725" ht="15.75" customHeight="1">
      <c r="A725" s="18">
        <v>45654.0</v>
      </c>
      <c r="B725" s="16" t="str">
        <f t="shared" si="1"/>
        <v>December</v>
      </c>
      <c r="C725" s="3" t="s">
        <v>29</v>
      </c>
      <c r="D725" s="2" t="str">
        <f t="shared" si="2"/>
        <v>Ciudad De Mexico</v>
      </c>
      <c r="E725" s="2" t="s">
        <v>49</v>
      </c>
      <c r="F725" s="2" t="str">
        <f>IFERROR(__xludf.DUMMYFUNCTION("SPLIT(E725, ""-"")"),"Tablet")</f>
        <v>Tablet</v>
      </c>
      <c r="G725" s="2" t="str">
        <f>IFERROR(__xludf.DUMMYFUNCTION("""COMPUTED_VALUE"""),"Estándar")</f>
        <v>Estándar</v>
      </c>
      <c r="H725" s="2" t="str">
        <f>IFERROR(__xludf.DUMMYFUNCTION("""COMPUTED_VALUE"""),"32GB")</f>
        <v>32GB</v>
      </c>
      <c r="I725" s="17">
        <v>1152.78</v>
      </c>
      <c r="J725" s="6">
        <v>4.0</v>
      </c>
      <c r="K725" s="17">
        <v>4611.12</v>
      </c>
      <c r="L725" s="2" t="s">
        <v>2245</v>
      </c>
      <c r="M725" s="2" t="s">
        <v>2246</v>
      </c>
      <c r="N725" s="2" t="s">
        <v>2247</v>
      </c>
    </row>
    <row r="726" ht="15.75" customHeight="1">
      <c r="A726" s="18">
        <v>45654.0</v>
      </c>
      <c r="B726" s="16" t="str">
        <f t="shared" si="1"/>
        <v>December</v>
      </c>
      <c r="C726" s="2" t="s">
        <v>14</v>
      </c>
      <c r="D726" s="2" t="str">
        <f t="shared" si="2"/>
        <v>Bogotá</v>
      </c>
      <c r="E726" s="2" t="s">
        <v>312</v>
      </c>
      <c r="F726" s="2" t="str">
        <f>IFERROR(__xludf.DUMMYFUNCTION("SPLIT(E726, ""-"")"),"Teléfono")</f>
        <v>Teléfono</v>
      </c>
      <c r="G726" s="2" t="str">
        <f>IFERROR(__xludf.DUMMYFUNCTION("""COMPUTED_VALUE"""),"Gama baja")</f>
        <v>Gama baja</v>
      </c>
      <c r="H726" s="2" t="str">
        <f>IFERROR(__xludf.DUMMYFUNCTION("""COMPUTED_VALUE"""),"8GB")</f>
        <v>8GB</v>
      </c>
      <c r="I726" s="17">
        <v>1793.94</v>
      </c>
      <c r="J726" s="6">
        <v>3.0</v>
      </c>
      <c r="K726" s="17">
        <v>5381.82</v>
      </c>
      <c r="L726" s="2" t="s">
        <v>2248</v>
      </c>
      <c r="M726" s="2" t="s">
        <v>2249</v>
      </c>
      <c r="N726" s="2" t="s">
        <v>2250</v>
      </c>
    </row>
    <row r="727" ht="15.75" customHeight="1">
      <c r="A727" s="18">
        <v>45654.0</v>
      </c>
      <c r="B727" s="16" t="str">
        <f t="shared" si="1"/>
        <v>December</v>
      </c>
      <c r="C727" s="2" t="s">
        <v>57</v>
      </c>
      <c r="D727" s="2" t="str">
        <f t="shared" si="2"/>
        <v>Guadalajara</v>
      </c>
      <c r="E727" s="2" t="s">
        <v>92</v>
      </c>
      <c r="F727" s="2" t="str">
        <f>IFERROR(__xludf.DUMMYFUNCTION("SPLIT(E727, ""-"")"),"Tablet")</f>
        <v>Tablet</v>
      </c>
      <c r="G727" s="2" t="str">
        <f>IFERROR(__xludf.DUMMYFUNCTION("""COMPUTED_VALUE"""),"Mini")</f>
        <v>Mini</v>
      </c>
      <c r="H727" s="2" t="str">
        <f>IFERROR(__xludf.DUMMYFUNCTION("""COMPUTED_VALUE"""),"8GB")</f>
        <v>8GB</v>
      </c>
      <c r="I727" s="17">
        <v>2144.75</v>
      </c>
      <c r="J727" s="6">
        <v>1.0</v>
      </c>
      <c r="K727" s="17">
        <v>2144.75</v>
      </c>
      <c r="L727" s="2" t="s">
        <v>2251</v>
      </c>
      <c r="M727" s="2" t="s">
        <v>2252</v>
      </c>
      <c r="N727" s="2" t="s">
        <v>2253</v>
      </c>
    </row>
    <row r="728" ht="15.75" customHeight="1">
      <c r="A728" s="18">
        <v>45654.0</v>
      </c>
      <c r="B728" s="16" t="str">
        <f t="shared" si="1"/>
        <v>December</v>
      </c>
      <c r="C728" s="2" t="s">
        <v>14</v>
      </c>
      <c r="D728" s="2" t="str">
        <f t="shared" si="2"/>
        <v>Bogotá</v>
      </c>
      <c r="E728" s="2" t="s">
        <v>289</v>
      </c>
      <c r="F728" s="2" t="str">
        <f>IFERROR(__xludf.DUMMYFUNCTION("SPLIT(E728, ""-"")"),"Teléfono")</f>
        <v>Teléfono</v>
      </c>
      <c r="G728" s="2" t="str">
        <f>IFERROR(__xludf.DUMMYFUNCTION("""COMPUTED_VALUE"""),"Gama alta")</f>
        <v>Gama alta</v>
      </c>
      <c r="H728" s="2" t="str">
        <f>IFERROR(__xludf.DUMMYFUNCTION("""COMPUTED_VALUE"""),"16GB")</f>
        <v>16GB</v>
      </c>
      <c r="I728" s="17">
        <v>1642.37</v>
      </c>
      <c r="J728" s="6">
        <v>3.0</v>
      </c>
      <c r="K728" s="17">
        <v>4927.11</v>
      </c>
      <c r="L728" s="2" t="s">
        <v>2254</v>
      </c>
      <c r="M728" s="2" t="s">
        <v>2255</v>
      </c>
      <c r="N728" s="2" t="s">
        <v>2256</v>
      </c>
    </row>
    <row r="729" ht="15.75" customHeight="1">
      <c r="A729" s="18">
        <v>45654.0</v>
      </c>
      <c r="B729" s="16" t="str">
        <f t="shared" si="1"/>
        <v>December</v>
      </c>
      <c r="C729" s="3" t="s">
        <v>29</v>
      </c>
      <c r="D729" s="2" t="str">
        <f t="shared" si="2"/>
        <v>Ciudad De Mexico</v>
      </c>
      <c r="E729" s="2" t="s">
        <v>316</v>
      </c>
      <c r="F729" s="2" t="str">
        <f>IFERROR(__xludf.DUMMYFUNCTION("SPLIT(E729, ""-"")"),"Tablet")</f>
        <v>Tablet</v>
      </c>
      <c r="G729" s="2" t="str">
        <f>IFERROR(__xludf.DUMMYFUNCTION("""COMPUTED_VALUE"""),"Pro")</f>
        <v>Pro</v>
      </c>
      <c r="H729" s="2" t="str">
        <f>IFERROR(__xludf.DUMMYFUNCTION("""COMPUTED_VALUE"""),"32GB")</f>
        <v>32GB</v>
      </c>
      <c r="I729" s="17">
        <v>158.82</v>
      </c>
      <c r="J729" s="6">
        <v>2.0</v>
      </c>
      <c r="K729" s="17">
        <v>317.64</v>
      </c>
      <c r="L729" s="2" t="s">
        <v>2257</v>
      </c>
      <c r="M729" s="2" t="s">
        <v>2258</v>
      </c>
      <c r="N729" s="2" t="s">
        <v>2259</v>
      </c>
    </row>
    <row r="730" ht="15.75" customHeight="1">
      <c r="A730" s="18">
        <v>45654.0</v>
      </c>
      <c r="B730" s="16" t="str">
        <f t="shared" si="1"/>
        <v>December</v>
      </c>
      <c r="C730" s="2" t="s">
        <v>57</v>
      </c>
      <c r="D730" s="2" t="str">
        <f t="shared" si="2"/>
        <v>Guadalajara</v>
      </c>
      <c r="E730" s="2" t="s">
        <v>165</v>
      </c>
      <c r="F730" s="2" t="str">
        <f>IFERROR(__xludf.DUMMYFUNCTION("SPLIT(E730, ""-"")"),"Auriculares")</f>
        <v>Auriculares</v>
      </c>
      <c r="G730" s="2" t="str">
        <f>IFERROR(__xludf.DUMMYFUNCTION("""COMPUTED_VALUE"""),"Bluetooth")</f>
        <v>Bluetooth</v>
      </c>
      <c r="H730" s="2" t="str">
        <f>IFERROR(__xludf.DUMMYFUNCTION("""COMPUTED_VALUE"""),"32GB")</f>
        <v>32GB</v>
      </c>
      <c r="I730" s="17">
        <v>1088.66</v>
      </c>
      <c r="J730" s="6">
        <v>4.0</v>
      </c>
      <c r="K730" s="17">
        <v>4354.64</v>
      </c>
      <c r="L730" s="2" t="s">
        <v>2260</v>
      </c>
      <c r="M730" s="2" t="s">
        <v>2261</v>
      </c>
      <c r="N730" s="2" t="s">
        <v>2262</v>
      </c>
    </row>
    <row r="731" ht="15.75" customHeight="1">
      <c r="A731" s="18">
        <v>45655.0</v>
      </c>
      <c r="B731" s="16" t="str">
        <f t="shared" si="1"/>
        <v>December</v>
      </c>
      <c r="C731" s="2" t="s">
        <v>9</v>
      </c>
      <c r="D731" s="2" t="str">
        <f t="shared" si="2"/>
        <v>Monterrey</v>
      </c>
      <c r="E731" s="2" t="s">
        <v>66</v>
      </c>
      <c r="F731" s="2" t="str">
        <f>IFERROR(__xludf.DUMMYFUNCTION("SPLIT(E731, ""-"")"),"Tablet")</f>
        <v>Tablet</v>
      </c>
      <c r="G731" s="2" t="str">
        <f>IFERROR(__xludf.DUMMYFUNCTION("""COMPUTED_VALUE"""),"Estándar")</f>
        <v>Estándar</v>
      </c>
      <c r="H731" s="2" t="str">
        <f>IFERROR(__xludf.DUMMYFUNCTION("""COMPUTED_VALUE"""),"4GB")</f>
        <v>4GB</v>
      </c>
      <c r="I731" s="17">
        <v>1456.46</v>
      </c>
      <c r="J731" s="6">
        <v>4.0</v>
      </c>
      <c r="K731" s="17">
        <v>5825.84</v>
      </c>
      <c r="L731" s="2" t="s">
        <v>2263</v>
      </c>
      <c r="M731" s="2" t="s">
        <v>2264</v>
      </c>
      <c r="N731" s="2" t="s">
        <v>2265</v>
      </c>
    </row>
    <row r="732" ht="15.75" customHeight="1">
      <c r="A732" s="18">
        <v>45655.0</v>
      </c>
      <c r="B732" s="16" t="str">
        <f t="shared" si="1"/>
        <v>December</v>
      </c>
      <c r="C732" s="2" t="s">
        <v>57</v>
      </c>
      <c r="D732" s="2" t="str">
        <f t="shared" si="2"/>
        <v>Guadalajara</v>
      </c>
      <c r="E732" s="2" t="s">
        <v>79</v>
      </c>
      <c r="F732" s="2" t="str">
        <f>IFERROR(__xludf.DUMMYFUNCTION("SPLIT(E732, ""-"")"),"Laptop")</f>
        <v>Laptop</v>
      </c>
      <c r="G732" s="2" t="str">
        <f>IFERROR(__xludf.DUMMYFUNCTION("""COMPUTED_VALUE"""),"Oficina")</f>
        <v>Oficina</v>
      </c>
      <c r="H732" s="2" t="str">
        <f>IFERROR(__xludf.DUMMYFUNCTION("""COMPUTED_VALUE"""),"16GB")</f>
        <v>16GB</v>
      </c>
      <c r="I732" s="17">
        <v>2209.08</v>
      </c>
      <c r="J732" s="6">
        <v>2.0</v>
      </c>
      <c r="K732" s="17">
        <v>4418.16</v>
      </c>
      <c r="L732" s="2" t="s">
        <v>2266</v>
      </c>
      <c r="M732" s="2" t="s">
        <v>2267</v>
      </c>
      <c r="N732" s="8" t="s">
        <v>2268</v>
      </c>
    </row>
    <row r="733" ht="15.75" customHeight="1">
      <c r="A733" s="18">
        <v>45655.0</v>
      </c>
      <c r="B733" s="16" t="str">
        <f t="shared" si="1"/>
        <v>December</v>
      </c>
      <c r="C733" s="2" t="s">
        <v>14</v>
      </c>
      <c r="D733" s="2" t="str">
        <f t="shared" si="2"/>
        <v>Bogotá</v>
      </c>
      <c r="E733" s="2" t="s">
        <v>169</v>
      </c>
      <c r="F733" s="2" t="str">
        <f>IFERROR(__xludf.DUMMYFUNCTION("SPLIT(E733, ""-"")"),"Teléfono")</f>
        <v>Teléfono</v>
      </c>
      <c r="G733" s="2" t="str">
        <f>IFERROR(__xludf.DUMMYFUNCTION("""COMPUTED_VALUE"""),"Gama baja")</f>
        <v>Gama baja</v>
      </c>
      <c r="H733" s="2" t="str">
        <f>IFERROR(__xludf.DUMMYFUNCTION("""COMPUTED_VALUE"""),"4GB")</f>
        <v>4GB</v>
      </c>
      <c r="I733" s="17">
        <v>401.92</v>
      </c>
      <c r="J733" s="6">
        <v>3.0</v>
      </c>
      <c r="K733" s="17">
        <v>1205.76</v>
      </c>
      <c r="L733" s="2" t="s">
        <v>2269</v>
      </c>
      <c r="M733" s="2" t="s">
        <v>2270</v>
      </c>
      <c r="N733" s="2" t="s">
        <v>2271</v>
      </c>
    </row>
    <row r="734" ht="15.75" customHeight="1">
      <c r="A734" s="18">
        <v>45655.0</v>
      </c>
      <c r="B734" s="16" t="str">
        <f t="shared" si="1"/>
        <v>December</v>
      </c>
      <c r="C734" s="2" t="s">
        <v>14</v>
      </c>
      <c r="D734" s="2" t="str">
        <f t="shared" si="2"/>
        <v>Bogotá</v>
      </c>
      <c r="E734" s="21" t="s">
        <v>2340</v>
      </c>
      <c r="F734" s="2" t="str">
        <f>IFERROR(__xludf.DUMMYFUNCTION("SPLIT(E734, ""-"")"),"Teléfono")</f>
        <v>Teléfono</v>
      </c>
      <c r="G734" s="2" t="str">
        <f>IFERROR(__xludf.DUMMYFUNCTION("""COMPUTED_VALUE"""),"Gama media")</f>
        <v>Gama media</v>
      </c>
      <c r="H734" s="2" t="str">
        <f>IFERROR(__xludf.DUMMYFUNCTION("""COMPUTED_VALUE"""),"8GB")</f>
        <v>8GB</v>
      </c>
      <c r="I734" s="17">
        <v>989.79</v>
      </c>
      <c r="J734" s="6">
        <v>5.0</v>
      </c>
      <c r="K734" s="17">
        <v>4948.95</v>
      </c>
      <c r="L734" s="2" t="s">
        <v>2272</v>
      </c>
      <c r="M734" s="2" t="s">
        <v>2273</v>
      </c>
      <c r="N734" s="2" t="s">
        <v>2274</v>
      </c>
    </row>
    <row r="735" ht="15.75" customHeight="1">
      <c r="A735" s="18">
        <v>45655.0</v>
      </c>
      <c r="B735" s="16" t="str">
        <f t="shared" si="1"/>
        <v>December</v>
      </c>
      <c r="C735" s="2" t="s">
        <v>14</v>
      </c>
      <c r="D735" s="2" t="str">
        <f t="shared" si="2"/>
        <v>Bogotá</v>
      </c>
      <c r="E735" s="2" t="s">
        <v>427</v>
      </c>
      <c r="F735" s="2" t="str">
        <f>IFERROR(__xludf.DUMMYFUNCTION("SPLIT(E735, ""-"")"),"Teléfono")</f>
        <v>Teléfono</v>
      </c>
      <c r="G735" s="2" t="str">
        <f>IFERROR(__xludf.DUMMYFUNCTION("""COMPUTED_VALUE"""),"Gama alta")</f>
        <v>Gama alta</v>
      </c>
      <c r="H735" s="2" t="str">
        <f>IFERROR(__xludf.DUMMYFUNCTION("""COMPUTED_VALUE"""),"4GB")</f>
        <v>4GB</v>
      </c>
      <c r="I735" s="17">
        <v>173.98</v>
      </c>
      <c r="J735" s="6">
        <v>4.0</v>
      </c>
      <c r="K735" s="17">
        <v>695.92</v>
      </c>
      <c r="L735" s="2" t="s">
        <v>2275</v>
      </c>
      <c r="M735" s="2" t="s">
        <v>2276</v>
      </c>
      <c r="N735" s="2" t="s">
        <v>2277</v>
      </c>
    </row>
    <row r="736" ht="15.75" customHeight="1">
      <c r="A736" s="18">
        <v>45655.0</v>
      </c>
      <c r="B736" s="16" t="str">
        <f t="shared" si="1"/>
        <v>December</v>
      </c>
      <c r="C736" s="2" t="s">
        <v>57</v>
      </c>
      <c r="D736" s="2" t="str">
        <f t="shared" si="2"/>
        <v>Guadalajara</v>
      </c>
      <c r="E736" s="2" t="s">
        <v>62</v>
      </c>
      <c r="F736" s="2" t="str">
        <f>IFERROR(__xludf.DUMMYFUNCTION("SPLIT(E736, ""-"")"),"Laptop")</f>
        <v>Laptop</v>
      </c>
      <c r="G736" s="2" t="str">
        <f>IFERROR(__xludf.DUMMYFUNCTION("""COMPUTED_VALUE"""),"Ultraliviana")</f>
        <v>Ultraliviana</v>
      </c>
      <c r="H736" s="2" t="str">
        <f>IFERROR(__xludf.DUMMYFUNCTION("""COMPUTED_VALUE"""),"4GB")</f>
        <v>4GB</v>
      </c>
      <c r="I736" s="17">
        <v>1006.61</v>
      </c>
      <c r="J736" s="6">
        <v>4.0</v>
      </c>
      <c r="K736" s="17">
        <v>4026.44</v>
      </c>
      <c r="L736" s="2" t="s">
        <v>2278</v>
      </c>
      <c r="M736" s="2" t="s">
        <v>2279</v>
      </c>
      <c r="N736" s="2" t="s">
        <v>2280</v>
      </c>
    </row>
    <row r="737" ht="15.75" customHeight="1">
      <c r="A737" s="18">
        <v>45655.0</v>
      </c>
      <c r="B737" s="16" t="str">
        <f t="shared" si="1"/>
        <v>December</v>
      </c>
      <c r="C737" s="3" t="s">
        <v>29</v>
      </c>
      <c r="D737" s="2" t="str">
        <f t="shared" si="2"/>
        <v>Ciudad De Mexico</v>
      </c>
      <c r="E737" s="2" t="s">
        <v>370</v>
      </c>
      <c r="F737" s="2" t="str">
        <f>IFERROR(__xludf.DUMMYFUNCTION("SPLIT(E737, ""-"")"),"Teléfono")</f>
        <v>Teléfono</v>
      </c>
      <c r="G737" s="2" t="str">
        <f>IFERROR(__xludf.DUMMYFUNCTION("""COMPUTED_VALUE"""),"Gama media")</f>
        <v>Gama media</v>
      </c>
      <c r="H737" s="2" t="str">
        <f>IFERROR(__xludf.DUMMYFUNCTION("""COMPUTED_VALUE"""),"16GB")</f>
        <v>16GB</v>
      </c>
      <c r="I737" s="17">
        <v>2068.09</v>
      </c>
      <c r="J737" s="6">
        <v>2.0</v>
      </c>
      <c r="K737" s="17">
        <v>4136.18</v>
      </c>
      <c r="L737" s="2" t="s">
        <v>2281</v>
      </c>
      <c r="M737" s="2" t="s">
        <v>2282</v>
      </c>
      <c r="N737" s="2" t="s">
        <v>2283</v>
      </c>
    </row>
    <row r="738" ht="15.75" customHeight="1">
      <c r="A738" s="18">
        <v>45655.0</v>
      </c>
      <c r="B738" s="16" t="str">
        <f t="shared" si="1"/>
        <v>December</v>
      </c>
      <c r="C738" s="3" t="s">
        <v>29</v>
      </c>
      <c r="D738" s="2" t="str">
        <f t="shared" si="2"/>
        <v>Ciudad De Mexico</v>
      </c>
      <c r="E738" s="2" t="s">
        <v>252</v>
      </c>
      <c r="F738" s="2" t="str">
        <f>IFERROR(__xludf.DUMMYFUNCTION("SPLIT(E738, ""-"")"),"Auriculares")</f>
        <v>Auriculares</v>
      </c>
      <c r="G738" s="2" t="str">
        <f>IFERROR(__xludf.DUMMYFUNCTION("""COMPUTED_VALUE"""),"Bluetooth")</f>
        <v>Bluetooth</v>
      </c>
      <c r="H738" s="2" t="str">
        <f>IFERROR(__xludf.DUMMYFUNCTION("""COMPUTED_VALUE"""),"8GB")</f>
        <v>8GB</v>
      </c>
      <c r="I738" s="17">
        <v>732.27</v>
      </c>
      <c r="J738" s="6">
        <v>4.0</v>
      </c>
      <c r="K738" s="17">
        <v>2929.08</v>
      </c>
      <c r="L738" s="2" t="s">
        <v>2284</v>
      </c>
      <c r="M738" s="2" t="s">
        <v>2285</v>
      </c>
      <c r="N738" s="2" t="s">
        <v>2286</v>
      </c>
    </row>
    <row r="739" ht="15.75" customHeight="1">
      <c r="A739" s="18">
        <v>45655.0</v>
      </c>
      <c r="B739" s="16" t="str">
        <f t="shared" si="1"/>
        <v>December</v>
      </c>
      <c r="C739" s="2" t="s">
        <v>9</v>
      </c>
      <c r="D739" s="2" t="str">
        <f t="shared" si="2"/>
        <v>Monterrey</v>
      </c>
      <c r="E739" s="2" t="s">
        <v>161</v>
      </c>
      <c r="F739" s="2" t="str">
        <f>IFERROR(__xludf.DUMMYFUNCTION("SPLIT(E739, ""-"")"),"Laptop")</f>
        <v>Laptop</v>
      </c>
      <c r="G739" s="2" t="str">
        <f>IFERROR(__xludf.DUMMYFUNCTION("""COMPUTED_VALUE"""),"Oficina")</f>
        <v>Oficina</v>
      </c>
      <c r="H739" s="2" t="str">
        <f>IFERROR(__xludf.DUMMYFUNCTION("""COMPUTED_VALUE"""),"32GB")</f>
        <v>32GB</v>
      </c>
      <c r="I739" s="17">
        <v>620.05</v>
      </c>
      <c r="J739" s="6">
        <v>5.0</v>
      </c>
      <c r="K739" s="17">
        <v>3100.25</v>
      </c>
      <c r="L739" s="2" t="s">
        <v>2287</v>
      </c>
      <c r="M739" s="2" t="s">
        <v>2288</v>
      </c>
      <c r="N739" s="2" t="s">
        <v>2289</v>
      </c>
    </row>
    <row r="740" ht="15.75" customHeight="1">
      <c r="A740" s="18">
        <v>45655.0</v>
      </c>
      <c r="B740" s="16" t="str">
        <f t="shared" si="1"/>
        <v>December</v>
      </c>
      <c r="C740" s="2" t="s">
        <v>74</v>
      </c>
      <c r="D740" s="2" t="str">
        <f t="shared" si="2"/>
        <v>Cali</v>
      </c>
      <c r="E740" s="21" t="s">
        <v>2340</v>
      </c>
      <c r="F740" s="2" t="str">
        <f>IFERROR(__xludf.DUMMYFUNCTION("SPLIT(E740, ""-"")"),"Teléfono")</f>
        <v>Teléfono</v>
      </c>
      <c r="G740" s="2" t="str">
        <f>IFERROR(__xludf.DUMMYFUNCTION("""COMPUTED_VALUE"""),"Gama media")</f>
        <v>Gama media</v>
      </c>
      <c r="H740" s="2" t="str">
        <f>IFERROR(__xludf.DUMMYFUNCTION("""COMPUTED_VALUE"""),"8GB")</f>
        <v>8GB</v>
      </c>
      <c r="I740" s="17">
        <v>1331.81</v>
      </c>
      <c r="J740" s="6">
        <v>3.0</v>
      </c>
      <c r="K740" s="17">
        <v>3995.43</v>
      </c>
      <c r="L740" s="2" t="s">
        <v>2290</v>
      </c>
      <c r="M740" s="2" t="s">
        <v>2291</v>
      </c>
      <c r="N740" s="2" t="s">
        <v>2292</v>
      </c>
    </row>
    <row r="741" ht="15.75" customHeight="1">
      <c r="A741" s="18">
        <v>45655.0</v>
      </c>
      <c r="B741" s="16" t="str">
        <f t="shared" si="1"/>
        <v>December</v>
      </c>
      <c r="C741" s="2" t="s">
        <v>34</v>
      </c>
      <c r="D741" s="2" t="str">
        <f t="shared" si="2"/>
        <v>Medellín</v>
      </c>
      <c r="E741" s="2" t="s">
        <v>366</v>
      </c>
      <c r="F741" s="2" t="str">
        <f>IFERROR(__xludf.DUMMYFUNCTION("SPLIT(E741, ""-"")"),"Auriculares")</f>
        <v>Auriculares</v>
      </c>
      <c r="G741" s="2" t="str">
        <f>IFERROR(__xludf.DUMMYFUNCTION("""COMPUTED_VALUE"""),"Con cable")</f>
        <v>Con cable</v>
      </c>
      <c r="H741" s="2" t="str">
        <f>IFERROR(__xludf.DUMMYFUNCTION("""COMPUTED_VALUE"""),"4GB")</f>
        <v>4GB</v>
      </c>
      <c r="I741" s="17">
        <v>714.18</v>
      </c>
      <c r="J741" s="6">
        <v>4.0</v>
      </c>
      <c r="K741" s="17">
        <v>2856.72</v>
      </c>
      <c r="L741" s="2" t="s">
        <v>2293</v>
      </c>
      <c r="M741" s="2" t="s">
        <v>2294</v>
      </c>
      <c r="N741" s="2" t="s">
        <v>2295</v>
      </c>
    </row>
    <row r="742" ht="15.75" customHeight="1">
      <c r="A742" s="18">
        <v>45655.0</v>
      </c>
      <c r="B742" s="16" t="str">
        <f t="shared" si="1"/>
        <v>December</v>
      </c>
      <c r="C742" s="2" t="s">
        <v>9</v>
      </c>
      <c r="D742" s="2" t="str">
        <f t="shared" si="2"/>
        <v>Monterrey</v>
      </c>
      <c r="E742" s="2" t="s">
        <v>10</v>
      </c>
      <c r="F742" s="2" t="str">
        <f>IFERROR(__xludf.DUMMYFUNCTION("SPLIT(E742, ""-"")"),"Tablet")</f>
        <v>Tablet</v>
      </c>
      <c r="G742" s="2" t="str">
        <f>IFERROR(__xludf.DUMMYFUNCTION("""COMPUTED_VALUE"""),"Estándar")</f>
        <v>Estándar</v>
      </c>
      <c r="H742" s="2" t="str">
        <f>IFERROR(__xludf.DUMMYFUNCTION("""COMPUTED_VALUE"""),"8GB")</f>
        <v>8GB</v>
      </c>
      <c r="I742" s="17">
        <v>792.6</v>
      </c>
      <c r="J742" s="6">
        <v>5.0</v>
      </c>
      <c r="K742" s="17">
        <v>3963.0</v>
      </c>
      <c r="L742" s="2" t="s">
        <v>2296</v>
      </c>
      <c r="M742" s="2" t="s">
        <v>2297</v>
      </c>
      <c r="N742" s="2" t="s">
        <v>2298</v>
      </c>
    </row>
    <row r="743" ht="15.75" customHeight="1">
      <c r="A743" s="18">
        <v>45655.0</v>
      </c>
      <c r="B743" s="16" t="str">
        <f t="shared" si="1"/>
        <v>December</v>
      </c>
      <c r="C743" s="2" t="s">
        <v>9</v>
      </c>
      <c r="D743" s="2" t="str">
        <f t="shared" si="2"/>
        <v>Monterrey</v>
      </c>
      <c r="E743" s="2" t="s">
        <v>183</v>
      </c>
      <c r="F743" s="2" t="str">
        <f>IFERROR(__xludf.DUMMYFUNCTION("SPLIT(E743, ""-"")"),"Auriculares")</f>
        <v>Auriculares</v>
      </c>
      <c r="G743" s="2" t="str">
        <f>IFERROR(__xludf.DUMMYFUNCTION("""COMPUTED_VALUE"""),"Cancelaci√≥n de ruido")</f>
        <v>Cancelaci√≥n de ruido</v>
      </c>
      <c r="H743" s="2" t="str">
        <f>IFERROR(__xludf.DUMMYFUNCTION("""COMPUTED_VALUE"""),"16GB")</f>
        <v>16GB</v>
      </c>
      <c r="I743" s="17">
        <v>1811.9</v>
      </c>
      <c r="J743" s="6">
        <v>1.0</v>
      </c>
      <c r="K743" s="17">
        <v>1811.9</v>
      </c>
      <c r="L743" s="2" t="s">
        <v>2299</v>
      </c>
      <c r="M743" s="2" t="s">
        <v>2300</v>
      </c>
      <c r="N743" s="2" t="s">
        <v>2301</v>
      </c>
    </row>
    <row r="744" ht="15.75" customHeight="1">
      <c r="A744" s="18">
        <v>45656.0</v>
      </c>
      <c r="B744" s="16" t="str">
        <f t="shared" si="1"/>
        <v>December</v>
      </c>
      <c r="C744" s="2" t="s">
        <v>57</v>
      </c>
      <c r="D744" s="2" t="str">
        <f t="shared" si="2"/>
        <v>Guadalajara</v>
      </c>
      <c r="E744" s="2" t="s">
        <v>49</v>
      </c>
      <c r="F744" s="2" t="str">
        <f>IFERROR(__xludf.DUMMYFUNCTION("SPLIT(E744, ""-"")"),"Tablet")</f>
        <v>Tablet</v>
      </c>
      <c r="G744" s="2" t="str">
        <f>IFERROR(__xludf.DUMMYFUNCTION("""COMPUTED_VALUE"""),"Estándar")</f>
        <v>Estándar</v>
      </c>
      <c r="H744" s="2" t="str">
        <f>IFERROR(__xludf.DUMMYFUNCTION("""COMPUTED_VALUE"""),"32GB")</f>
        <v>32GB</v>
      </c>
      <c r="I744" s="17">
        <v>895.6</v>
      </c>
      <c r="J744" s="6">
        <v>3.0</v>
      </c>
      <c r="K744" s="17">
        <v>2686.8</v>
      </c>
      <c r="L744" s="2" t="s">
        <v>2302</v>
      </c>
      <c r="M744" s="2" t="s">
        <v>2303</v>
      </c>
      <c r="N744" s="2" t="s">
        <v>2304</v>
      </c>
    </row>
    <row r="745" ht="15.75" customHeight="1">
      <c r="A745" s="18">
        <v>45656.0</v>
      </c>
      <c r="B745" s="16" t="str">
        <f t="shared" si="1"/>
        <v>December</v>
      </c>
      <c r="C745" s="2" t="s">
        <v>74</v>
      </c>
      <c r="D745" s="2" t="str">
        <f t="shared" si="2"/>
        <v>Cali</v>
      </c>
      <c r="E745" s="2" t="s">
        <v>662</v>
      </c>
      <c r="F745" s="2" t="str">
        <f>IFERROR(__xludf.DUMMYFUNCTION("SPLIT(E745, ""-"")"),"Auriculares")</f>
        <v>Auriculares</v>
      </c>
      <c r="G745" s="2" t="str">
        <f>IFERROR(__xludf.DUMMYFUNCTION("""COMPUTED_VALUE"""),"Cancelación de ruido")</f>
        <v>Cancelación de ruido</v>
      </c>
      <c r="H745" s="2" t="str">
        <f>IFERROR(__xludf.DUMMYFUNCTION("""COMPUTED_VALUE"""),"32GB")</f>
        <v>32GB</v>
      </c>
      <c r="I745" s="17">
        <v>2064.92</v>
      </c>
      <c r="J745" s="6">
        <v>3.0</v>
      </c>
      <c r="K745" s="17">
        <v>6194.76</v>
      </c>
      <c r="L745" s="2" t="s">
        <v>2305</v>
      </c>
      <c r="M745" s="2" t="s">
        <v>2306</v>
      </c>
      <c r="N745" s="8" t="s">
        <v>2307</v>
      </c>
    </row>
    <row r="746" ht="15.75" customHeight="1">
      <c r="A746" s="18">
        <v>45656.0</v>
      </c>
      <c r="B746" s="16" t="str">
        <f t="shared" si="1"/>
        <v>December</v>
      </c>
      <c r="C746" s="2" t="s">
        <v>9</v>
      </c>
      <c r="D746" s="2" t="str">
        <f t="shared" si="2"/>
        <v>Monterrey</v>
      </c>
      <c r="E746" s="2" t="s">
        <v>30</v>
      </c>
      <c r="F746" s="2" t="str">
        <f>IFERROR(__xludf.DUMMYFUNCTION("SPLIT(E746, ""-"")"),"Teléfono")</f>
        <v>Teléfono</v>
      </c>
      <c r="G746" s="2" t="str">
        <f>IFERROR(__xludf.DUMMYFUNCTION("""COMPUTED_VALUE"""),"Gama alta")</f>
        <v>Gama alta</v>
      </c>
      <c r="H746" s="2" t="str">
        <f>IFERROR(__xludf.DUMMYFUNCTION("""COMPUTED_VALUE"""),"32GB")</f>
        <v>32GB</v>
      </c>
      <c r="I746" s="17">
        <v>2149.59</v>
      </c>
      <c r="J746" s="6">
        <v>4.0</v>
      </c>
      <c r="K746" s="17">
        <v>8598.36</v>
      </c>
      <c r="L746" s="2" t="s">
        <v>2308</v>
      </c>
      <c r="M746" s="2" t="s">
        <v>2309</v>
      </c>
      <c r="N746" s="2" t="s">
        <v>2310</v>
      </c>
    </row>
    <row r="747" ht="15.75" customHeight="1">
      <c r="A747" s="18">
        <v>45656.0</v>
      </c>
      <c r="B747" s="16" t="str">
        <f t="shared" si="1"/>
        <v>December</v>
      </c>
      <c r="C747" s="2" t="s">
        <v>34</v>
      </c>
      <c r="D747" s="2" t="str">
        <f t="shared" si="2"/>
        <v>Medellín</v>
      </c>
      <c r="E747" s="2" t="s">
        <v>35</v>
      </c>
      <c r="F747" s="2" t="str">
        <f>IFERROR(__xludf.DUMMYFUNCTION("SPLIT(E747, ""-"")"),"Tablet")</f>
        <v>Tablet</v>
      </c>
      <c r="G747" s="2" t="str">
        <f>IFERROR(__xludf.DUMMYFUNCTION("""COMPUTED_VALUE"""),"Pro")</f>
        <v>Pro</v>
      </c>
      <c r="H747" s="2" t="str">
        <f>IFERROR(__xludf.DUMMYFUNCTION("""COMPUTED_VALUE"""),"4GB")</f>
        <v>4GB</v>
      </c>
      <c r="I747" s="17">
        <v>619.4</v>
      </c>
      <c r="J747" s="6">
        <v>1.0</v>
      </c>
      <c r="K747" s="17">
        <v>619.4</v>
      </c>
      <c r="L747" s="2" t="s">
        <v>2311</v>
      </c>
      <c r="M747" s="2" t="s">
        <v>2312</v>
      </c>
      <c r="N747" s="2" t="s">
        <v>2313</v>
      </c>
    </row>
    <row r="748" ht="15.75" customHeight="1">
      <c r="A748" s="18">
        <v>45656.0</v>
      </c>
      <c r="B748" s="16" t="str">
        <f t="shared" si="1"/>
        <v>December</v>
      </c>
      <c r="C748" s="2" t="s">
        <v>9</v>
      </c>
      <c r="D748" s="2" t="str">
        <f t="shared" si="2"/>
        <v>Monterrey</v>
      </c>
      <c r="E748" s="2" t="s">
        <v>39</v>
      </c>
      <c r="F748" s="2" t="str">
        <f>IFERROR(__xludf.DUMMYFUNCTION("SPLIT(E748, ""-"")"),"Auriculares")</f>
        <v>Auriculares</v>
      </c>
      <c r="G748" s="2" t="str">
        <f>IFERROR(__xludf.DUMMYFUNCTION("""COMPUTED_VALUE"""),"Con cable")</f>
        <v>Con cable</v>
      </c>
      <c r="H748" s="2" t="str">
        <f>IFERROR(__xludf.DUMMYFUNCTION("""COMPUTED_VALUE"""),"8GB")</f>
        <v>8GB</v>
      </c>
      <c r="I748" s="17">
        <v>2086.06</v>
      </c>
      <c r="J748" s="6">
        <v>1.0</v>
      </c>
      <c r="K748" s="17">
        <v>2086.06</v>
      </c>
      <c r="L748" s="2" t="s">
        <v>2314</v>
      </c>
      <c r="M748" s="2" t="s">
        <v>2315</v>
      </c>
      <c r="N748" s="2" t="s">
        <v>2316</v>
      </c>
    </row>
    <row r="749" ht="15.75" customHeight="1">
      <c r="A749" s="18">
        <v>45656.0</v>
      </c>
      <c r="B749" s="16" t="str">
        <f t="shared" si="1"/>
        <v>December</v>
      </c>
      <c r="C749" s="2" t="s">
        <v>9</v>
      </c>
      <c r="D749" s="2" t="str">
        <f t="shared" si="2"/>
        <v>Monterrey</v>
      </c>
      <c r="E749" s="2" t="s">
        <v>79</v>
      </c>
      <c r="F749" s="2" t="str">
        <f>IFERROR(__xludf.DUMMYFUNCTION("SPLIT(E749, ""-"")"),"Laptop")</f>
        <v>Laptop</v>
      </c>
      <c r="G749" s="2" t="str">
        <f>IFERROR(__xludf.DUMMYFUNCTION("""COMPUTED_VALUE"""),"Oficina")</f>
        <v>Oficina</v>
      </c>
      <c r="H749" s="2" t="str">
        <f>IFERROR(__xludf.DUMMYFUNCTION("""COMPUTED_VALUE"""),"16GB")</f>
        <v>16GB</v>
      </c>
      <c r="I749" s="17">
        <v>2019.54</v>
      </c>
      <c r="J749" s="6">
        <v>3.0</v>
      </c>
      <c r="K749" s="17">
        <v>6058.62</v>
      </c>
      <c r="L749" s="2" t="s">
        <v>2317</v>
      </c>
      <c r="M749" s="2" t="s">
        <v>2318</v>
      </c>
      <c r="N749" s="2" t="s">
        <v>2319</v>
      </c>
    </row>
    <row r="750" ht="15.75" customHeight="1">
      <c r="A750" s="18">
        <v>45656.0</v>
      </c>
      <c r="B750" s="16" t="str">
        <f t="shared" si="1"/>
        <v>December</v>
      </c>
      <c r="C750" s="2" t="s">
        <v>57</v>
      </c>
      <c r="D750" s="2" t="str">
        <f t="shared" si="2"/>
        <v>Guadalajara</v>
      </c>
      <c r="E750" s="2" t="s">
        <v>39</v>
      </c>
      <c r="F750" s="2" t="str">
        <f>IFERROR(__xludf.DUMMYFUNCTION("SPLIT(E750, ""-"")"),"Auriculares")</f>
        <v>Auriculares</v>
      </c>
      <c r="G750" s="2" t="str">
        <f>IFERROR(__xludf.DUMMYFUNCTION("""COMPUTED_VALUE"""),"Con cable")</f>
        <v>Con cable</v>
      </c>
      <c r="H750" s="2" t="str">
        <f>IFERROR(__xludf.DUMMYFUNCTION("""COMPUTED_VALUE"""),"8GB")</f>
        <v>8GB</v>
      </c>
      <c r="I750" s="17">
        <v>823.08</v>
      </c>
      <c r="J750" s="6">
        <v>4.0</v>
      </c>
      <c r="K750" s="17">
        <v>3292.32</v>
      </c>
      <c r="L750" s="2" t="s">
        <v>2320</v>
      </c>
      <c r="M750" s="2" t="s">
        <v>2321</v>
      </c>
      <c r="N750" s="2" t="s">
        <v>2322</v>
      </c>
    </row>
    <row r="751" ht="15.75" customHeight="1">
      <c r="A751" s="18">
        <v>45657.0</v>
      </c>
      <c r="B751" s="16" t="str">
        <f t="shared" si="1"/>
        <v>December</v>
      </c>
      <c r="C751" s="2" t="s">
        <v>74</v>
      </c>
      <c r="D751" s="2" t="str">
        <f t="shared" si="2"/>
        <v>Cali</v>
      </c>
      <c r="E751" s="2" t="s">
        <v>308</v>
      </c>
      <c r="F751" s="2" t="str">
        <f>IFERROR(__xludf.DUMMYFUNCTION("SPLIT(E751, ""-"")"),"Laptop")</f>
        <v>Laptop</v>
      </c>
      <c r="G751" s="2" t="str">
        <f>IFERROR(__xludf.DUMMYFUNCTION("""COMPUTED_VALUE"""),"Ultraliviana")</f>
        <v>Ultraliviana</v>
      </c>
      <c r="H751" s="2" t="str">
        <f>IFERROR(__xludf.DUMMYFUNCTION("""COMPUTED_VALUE"""),"32GB")</f>
        <v>32GB</v>
      </c>
      <c r="I751" s="17">
        <v>1721.22</v>
      </c>
      <c r="J751" s="6">
        <v>4.0</v>
      </c>
      <c r="K751" s="17">
        <v>6884.88</v>
      </c>
      <c r="L751" s="2" t="s">
        <v>2323</v>
      </c>
      <c r="M751" s="2" t="s">
        <v>2324</v>
      </c>
      <c r="N751" s="2" t="s">
        <v>2325</v>
      </c>
    </row>
    <row r="752" ht="15.75" customHeight="1">
      <c r="A752" s="18">
        <v>45657.0</v>
      </c>
      <c r="B752" s="16" t="str">
        <f t="shared" si="1"/>
        <v>December</v>
      </c>
      <c r="C752" s="2" t="s">
        <v>57</v>
      </c>
      <c r="D752" s="2" t="str">
        <f t="shared" si="2"/>
        <v>Guadalajara</v>
      </c>
      <c r="E752" s="2" t="s">
        <v>39</v>
      </c>
      <c r="F752" s="2" t="str">
        <f>IFERROR(__xludf.DUMMYFUNCTION("SPLIT(E752, ""-"")"),"Auriculares")</f>
        <v>Auriculares</v>
      </c>
      <c r="G752" s="2" t="str">
        <f>IFERROR(__xludf.DUMMYFUNCTION("""COMPUTED_VALUE"""),"Con cable")</f>
        <v>Con cable</v>
      </c>
      <c r="H752" s="2" t="str">
        <f>IFERROR(__xludf.DUMMYFUNCTION("""COMPUTED_VALUE"""),"8GB")</f>
        <v>8GB</v>
      </c>
      <c r="I752" s="17">
        <v>134.89</v>
      </c>
      <c r="J752" s="6">
        <v>5.0</v>
      </c>
      <c r="K752" s="17">
        <v>674.45</v>
      </c>
      <c r="L752" s="2" t="s">
        <v>2326</v>
      </c>
      <c r="M752" s="2" t="s">
        <v>2327</v>
      </c>
      <c r="N752" s="2" t="s">
        <v>2328</v>
      </c>
    </row>
    <row r="753" ht="15.75" customHeight="1">
      <c r="A753" s="18">
        <v>45657.0</v>
      </c>
      <c r="B753" s="16" t="str">
        <f t="shared" si="1"/>
        <v>December</v>
      </c>
      <c r="C753" s="2" t="s">
        <v>74</v>
      </c>
      <c r="D753" s="2" t="str">
        <f t="shared" si="2"/>
        <v>Cali</v>
      </c>
      <c r="E753" s="2" t="s">
        <v>427</v>
      </c>
      <c r="F753" s="2" t="str">
        <f>IFERROR(__xludf.DUMMYFUNCTION("SPLIT(E753, ""-"")"),"Teléfono")</f>
        <v>Teléfono</v>
      </c>
      <c r="G753" s="2" t="str">
        <f>IFERROR(__xludf.DUMMYFUNCTION("""COMPUTED_VALUE"""),"Gama alta")</f>
        <v>Gama alta</v>
      </c>
      <c r="H753" s="2" t="str">
        <f>IFERROR(__xludf.DUMMYFUNCTION("""COMPUTED_VALUE"""),"4GB")</f>
        <v>4GB</v>
      </c>
      <c r="I753" s="17">
        <v>1545.28</v>
      </c>
      <c r="J753" s="6">
        <v>2.0</v>
      </c>
      <c r="K753" s="17">
        <v>3090.56</v>
      </c>
      <c r="L753" s="2" t="s">
        <v>2329</v>
      </c>
      <c r="M753" s="2" t="s">
        <v>2330</v>
      </c>
      <c r="N753" s="2" t="s">
        <v>2331</v>
      </c>
    </row>
    <row r="754" ht="15.75" customHeight="1">
      <c r="A754" s="18">
        <v>45657.0</v>
      </c>
      <c r="B754" s="16" t="str">
        <f t="shared" si="1"/>
        <v>December</v>
      </c>
      <c r="C754" s="2" t="s">
        <v>57</v>
      </c>
      <c r="D754" s="2" t="str">
        <f t="shared" si="2"/>
        <v>Guadalajara</v>
      </c>
      <c r="E754" s="2" t="s">
        <v>30</v>
      </c>
      <c r="F754" s="2" t="str">
        <f>IFERROR(__xludf.DUMMYFUNCTION("SPLIT(E754, ""-"")"),"Teléfono")</f>
        <v>Teléfono</v>
      </c>
      <c r="G754" s="2" t="str">
        <f>IFERROR(__xludf.DUMMYFUNCTION("""COMPUTED_VALUE"""),"Gama alta")</f>
        <v>Gama alta</v>
      </c>
      <c r="H754" s="2" t="str">
        <f>IFERROR(__xludf.DUMMYFUNCTION("""COMPUTED_VALUE"""),"32GB")</f>
        <v>32GB</v>
      </c>
      <c r="I754" s="17">
        <v>807.96</v>
      </c>
      <c r="J754" s="6">
        <v>2.0</v>
      </c>
      <c r="K754" s="17">
        <v>1615.92</v>
      </c>
      <c r="L754" s="2" t="s">
        <v>2332</v>
      </c>
      <c r="M754" s="2" t="s">
        <v>2333</v>
      </c>
      <c r="N754" s="2" t="s">
        <v>2334</v>
      </c>
    </row>
    <row r="755" ht="15.75" customHeight="1">
      <c r="A755" s="23"/>
      <c r="B755" s="23"/>
      <c r="I755" s="24"/>
      <c r="K755" s="24"/>
    </row>
    <row r="756" ht="15.75" customHeight="1">
      <c r="A756" s="25"/>
      <c r="B756" s="25"/>
      <c r="I756" s="24"/>
      <c r="K756" s="24"/>
    </row>
    <row r="757" ht="15.75" customHeight="1">
      <c r="A757" s="23"/>
      <c r="B757" s="23"/>
      <c r="I757" s="24"/>
      <c r="K757" s="24"/>
    </row>
    <row r="758" ht="15.75" customHeight="1">
      <c r="A758" s="23"/>
      <c r="B758" s="23"/>
      <c r="I758" s="24"/>
      <c r="K758" s="24"/>
    </row>
    <row r="759" ht="15.75" customHeight="1">
      <c r="A759" s="25"/>
      <c r="B759" s="25"/>
      <c r="I759" s="24"/>
      <c r="K759" s="24"/>
    </row>
    <row r="760" ht="15.75" customHeight="1">
      <c r="A760" s="23"/>
      <c r="B760" s="23"/>
      <c r="I760" s="24"/>
      <c r="K760" s="24"/>
    </row>
    <row r="761" ht="15.75" customHeight="1">
      <c r="A761" s="25"/>
      <c r="B761" s="25"/>
      <c r="I761" s="24"/>
      <c r="K761" s="24"/>
    </row>
    <row r="762" ht="15.75" customHeight="1">
      <c r="A762" s="25"/>
      <c r="B762" s="25"/>
      <c r="I762" s="24"/>
      <c r="K762" s="24"/>
    </row>
    <row r="763" ht="15.75" customHeight="1">
      <c r="A763" s="25"/>
      <c r="B763" s="25"/>
      <c r="I763" s="24"/>
      <c r="K763" s="24"/>
    </row>
    <row r="764" ht="15.75" customHeight="1">
      <c r="A764" s="23"/>
      <c r="B764" s="23"/>
      <c r="I764" s="24"/>
      <c r="K764" s="24"/>
      <c r="N764" s="26"/>
    </row>
    <row r="765" ht="15.75" customHeight="1">
      <c r="A765" s="23"/>
      <c r="B765" s="23"/>
      <c r="I765" s="24"/>
      <c r="K765" s="24"/>
    </row>
    <row r="766" ht="15.75" customHeight="1">
      <c r="A766" s="23"/>
      <c r="B766" s="23"/>
      <c r="I766" s="24"/>
      <c r="K766" s="24"/>
    </row>
    <row r="767" ht="15.75" customHeight="1">
      <c r="A767" s="23"/>
      <c r="B767" s="23"/>
      <c r="I767" s="24"/>
      <c r="K767" s="24"/>
    </row>
    <row r="768" ht="15.75" customHeight="1">
      <c r="A768" s="23"/>
      <c r="B768" s="23"/>
      <c r="I768" s="24"/>
      <c r="K768" s="24"/>
    </row>
    <row r="769" ht="15.75" customHeight="1">
      <c r="A769" s="23"/>
      <c r="B769" s="23"/>
      <c r="I769" s="24"/>
      <c r="K769" s="24"/>
    </row>
    <row r="770" ht="15.75" customHeight="1">
      <c r="A770" s="23"/>
      <c r="B770" s="23"/>
      <c r="I770" s="24"/>
      <c r="K770" s="24"/>
    </row>
    <row r="771" ht="15.75" customHeight="1">
      <c r="A771" s="23"/>
      <c r="B771" s="23"/>
      <c r="I771" s="24"/>
      <c r="K771" s="24"/>
    </row>
    <row r="772" ht="15.75" customHeight="1">
      <c r="A772" s="25"/>
      <c r="B772" s="25"/>
      <c r="I772" s="24"/>
      <c r="K772" s="24"/>
    </row>
    <row r="773" ht="15.75" customHeight="1">
      <c r="A773" s="25"/>
      <c r="B773" s="25"/>
      <c r="I773" s="24"/>
      <c r="K773" s="24"/>
    </row>
    <row r="774" ht="15.75" customHeight="1">
      <c r="A774" s="25"/>
      <c r="B774" s="25"/>
      <c r="I774" s="24"/>
      <c r="K774" s="24"/>
    </row>
    <row r="775" ht="15.75" customHeight="1">
      <c r="A775" s="25"/>
      <c r="B775" s="25"/>
      <c r="I775" s="24"/>
      <c r="K775" s="24"/>
    </row>
    <row r="776" ht="15.75" customHeight="1">
      <c r="A776" s="25"/>
      <c r="B776" s="25"/>
      <c r="I776" s="24"/>
      <c r="K776" s="24"/>
    </row>
    <row r="777" ht="15.75" customHeight="1">
      <c r="A777" s="25"/>
      <c r="B777" s="25"/>
      <c r="I777" s="24"/>
      <c r="K777" s="24"/>
    </row>
    <row r="778" ht="15.75" customHeight="1">
      <c r="A778" s="25"/>
      <c r="B778" s="25"/>
      <c r="I778" s="24"/>
      <c r="K778" s="24"/>
    </row>
    <row r="779" ht="15.75" customHeight="1">
      <c r="A779" s="25"/>
      <c r="B779" s="25"/>
      <c r="I779" s="24"/>
      <c r="K779" s="24"/>
    </row>
    <row r="780" ht="15.75" customHeight="1">
      <c r="A780" s="23"/>
      <c r="B780" s="23"/>
      <c r="I780" s="24"/>
      <c r="K780" s="24"/>
    </row>
    <row r="781" ht="15.75" customHeight="1">
      <c r="A781" s="23"/>
      <c r="B781" s="23"/>
      <c r="I781" s="24"/>
      <c r="K781" s="24"/>
    </row>
    <row r="782" ht="15.75" customHeight="1">
      <c r="A782" s="25"/>
      <c r="B782" s="25"/>
      <c r="I782" s="24"/>
      <c r="K782" s="24"/>
    </row>
    <row r="783" ht="15.75" customHeight="1">
      <c r="A783" s="23"/>
      <c r="B783" s="23"/>
      <c r="I783" s="24"/>
      <c r="K783" s="24"/>
    </row>
    <row r="784" ht="15.75" customHeight="1">
      <c r="A784" s="23"/>
      <c r="B784" s="23"/>
      <c r="I784" s="24"/>
      <c r="K784" s="24"/>
    </row>
    <row r="785" ht="15.75" customHeight="1">
      <c r="A785" s="25"/>
      <c r="B785" s="25"/>
      <c r="I785" s="24"/>
      <c r="K785" s="24"/>
    </row>
    <row r="786" ht="15.75" customHeight="1">
      <c r="A786" s="25"/>
      <c r="B786" s="25"/>
      <c r="I786" s="24"/>
      <c r="K786" s="24"/>
    </row>
    <row r="787" ht="15.75" customHeight="1">
      <c r="A787" s="25"/>
      <c r="B787" s="25"/>
      <c r="I787" s="24"/>
      <c r="K787" s="24"/>
      <c r="N787" s="26"/>
    </row>
    <row r="788" ht="15.75" customHeight="1">
      <c r="A788" s="25"/>
      <c r="B788" s="25"/>
      <c r="I788" s="24"/>
      <c r="K788" s="24"/>
    </row>
    <row r="789" ht="15.75" customHeight="1">
      <c r="A789" s="25"/>
      <c r="B789" s="25"/>
      <c r="I789" s="24"/>
      <c r="K789" s="24"/>
    </row>
    <row r="790" ht="15.75" customHeight="1">
      <c r="A790" s="25"/>
      <c r="B790" s="25"/>
      <c r="I790" s="24"/>
      <c r="K790" s="24"/>
    </row>
    <row r="791" ht="15.75" customHeight="1">
      <c r="A791" s="25"/>
      <c r="B791" s="25"/>
      <c r="I791" s="24"/>
      <c r="K791" s="24"/>
    </row>
    <row r="792" ht="15.75" customHeight="1">
      <c r="A792" s="23"/>
      <c r="B792" s="23"/>
      <c r="I792" s="24"/>
      <c r="K792" s="24"/>
    </row>
    <row r="793" ht="15.75" customHeight="1">
      <c r="A793" s="25"/>
      <c r="B793" s="25"/>
      <c r="I793" s="24"/>
      <c r="K793" s="24"/>
    </row>
    <row r="794" ht="15.75" customHeight="1">
      <c r="A794" s="23"/>
      <c r="B794" s="23"/>
      <c r="I794" s="24"/>
      <c r="K794" s="24"/>
    </row>
    <row r="795" ht="15.75" customHeight="1">
      <c r="A795" s="25"/>
      <c r="B795" s="25"/>
      <c r="I795" s="24"/>
      <c r="K795" s="24"/>
    </row>
    <row r="796" ht="15.75" customHeight="1">
      <c r="A796" s="25"/>
      <c r="B796" s="25"/>
      <c r="I796" s="24"/>
      <c r="K796" s="24"/>
    </row>
    <row r="797" ht="15.75" customHeight="1">
      <c r="A797" s="23"/>
      <c r="B797" s="23"/>
      <c r="I797" s="24"/>
      <c r="K797" s="24"/>
    </row>
    <row r="798" ht="15.75" customHeight="1">
      <c r="A798" s="25"/>
      <c r="B798" s="25"/>
      <c r="I798" s="24"/>
      <c r="K798" s="24"/>
    </row>
    <row r="799" ht="15.75" customHeight="1">
      <c r="A799" s="25"/>
      <c r="B799" s="25"/>
      <c r="I799" s="24"/>
      <c r="K799" s="24"/>
      <c r="N799" s="26"/>
    </row>
    <row r="800" ht="15.75" customHeight="1">
      <c r="A800" s="23"/>
      <c r="B800" s="23"/>
      <c r="I800" s="24"/>
      <c r="K800" s="24"/>
    </row>
    <row r="801" ht="15.75" customHeight="1">
      <c r="A801" s="25"/>
      <c r="B801" s="25"/>
      <c r="I801" s="24"/>
      <c r="K801" s="24"/>
    </row>
    <row r="802" ht="15.75" customHeight="1">
      <c r="A802" s="25"/>
      <c r="B802" s="25"/>
      <c r="I802" s="24"/>
      <c r="K802" s="24"/>
    </row>
    <row r="803" ht="15.75" customHeight="1">
      <c r="A803" s="25"/>
      <c r="B803" s="25"/>
      <c r="I803" s="24"/>
      <c r="K803" s="24"/>
    </row>
    <row r="804" ht="15.75" customHeight="1">
      <c r="A804" s="25"/>
      <c r="B804" s="25"/>
      <c r="I804" s="24"/>
      <c r="K804" s="24"/>
    </row>
    <row r="805" ht="15.75" customHeight="1">
      <c r="A805" s="23"/>
      <c r="B805" s="23"/>
      <c r="I805" s="24"/>
      <c r="K805" s="24"/>
    </row>
    <row r="806" ht="15.75" customHeight="1">
      <c r="A806" s="23"/>
      <c r="B806" s="23"/>
      <c r="I806" s="24"/>
      <c r="K806" s="24"/>
    </row>
    <row r="807" ht="15.75" customHeight="1">
      <c r="A807" s="25"/>
      <c r="B807" s="25"/>
      <c r="I807" s="24"/>
      <c r="K807" s="24"/>
    </row>
    <row r="808" ht="15.75" customHeight="1">
      <c r="A808" s="23"/>
      <c r="B808" s="23"/>
      <c r="I808" s="24"/>
      <c r="K808" s="24"/>
    </row>
    <row r="809" ht="15.75" customHeight="1">
      <c r="A809" s="25"/>
      <c r="B809" s="25"/>
      <c r="I809" s="24"/>
      <c r="K809" s="24"/>
    </row>
    <row r="810" ht="15.75" customHeight="1">
      <c r="A810" s="25"/>
      <c r="B810" s="25"/>
      <c r="I810" s="24"/>
      <c r="K810" s="24"/>
    </row>
    <row r="811" ht="15.75" customHeight="1">
      <c r="A811" s="25"/>
      <c r="B811" s="25"/>
      <c r="I811" s="24"/>
      <c r="K811" s="24"/>
    </row>
    <row r="812" ht="15.75" customHeight="1">
      <c r="A812" s="25"/>
      <c r="B812" s="25"/>
      <c r="I812" s="24"/>
      <c r="K812" s="24"/>
    </row>
    <row r="813" ht="15.75" customHeight="1">
      <c r="A813" s="25"/>
      <c r="B813" s="25"/>
      <c r="I813" s="24"/>
      <c r="K813" s="24"/>
    </row>
    <row r="814" ht="15.75" customHeight="1">
      <c r="A814" s="23"/>
      <c r="B814" s="23"/>
      <c r="I814" s="24"/>
      <c r="K814" s="24"/>
    </row>
    <row r="815" ht="15.75" customHeight="1">
      <c r="A815" s="25"/>
      <c r="B815" s="25"/>
      <c r="I815" s="24"/>
      <c r="K815" s="24"/>
    </row>
    <row r="816" ht="15.75" customHeight="1">
      <c r="A816" s="25"/>
      <c r="B816" s="25"/>
      <c r="I816" s="24"/>
      <c r="K816" s="24"/>
    </row>
    <row r="817" ht="15.75" customHeight="1">
      <c r="A817" s="23"/>
      <c r="B817" s="23"/>
      <c r="I817" s="24"/>
      <c r="K817" s="24"/>
    </row>
    <row r="818" ht="15.75" customHeight="1">
      <c r="A818" s="25"/>
      <c r="B818" s="25"/>
      <c r="I818" s="24"/>
      <c r="K818" s="24"/>
    </row>
    <row r="819" ht="15.75" customHeight="1">
      <c r="A819" s="25"/>
      <c r="B819" s="25"/>
      <c r="I819" s="24"/>
      <c r="K819" s="24"/>
    </row>
    <row r="820" ht="15.75" customHeight="1">
      <c r="A820" s="23"/>
      <c r="B820" s="23"/>
      <c r="I820" s="24"/>
      <c r="K820" s="24"/>
    </row>
    <row r="821" ht="15.75" customHeight="1">
      <c r="A821" s="23"/>
      <c r="B821" s="23"/>
      <c r="I821" s="24"/>
      <c r="K821" s="24"/>
    </row>
    <row r="822" ht="15.75" customHeight="1">
      <c r="A822" s="23"/>
      <c r="B822" s="23"/>
      <c r="I822" s="24"/>
      <c r="K822" s="24"/>
    </row>
    <row r="823" ht="15.75" customHeight="1">
      <c r="A823" s="23"/>
      <c r="B823" s="23"/>
      <c r="I823" s="24"/>
      <c r="K823" s="24"/>
    </row>
    <row r="824" ht="15.75" customHeight="1">
      <c r="A824" s="25"/>
      <c r="B824" s="25"/>
      <c r="I824" s="24"/>
      <c r="K824" s="24"/>
    </row>
    <row r="825" ht="15.75" customHeight="1">
      <c r="A825" s="25"/>
      <c r="B825" s="25"/>
      <c r="I825" s="24"/>
      <c r="K825" s="24"/>
    </row>
    <row r="826" ht="15.75" customHeight="1">
      <c r="A826" s="25"/>
      <c r="B826" s="25"/>
      <c r="I826" s="24"/>
      <c r="K826" s="24"/>
    </row>
    <row r="827" ht="15.75" customHeight="1">
      <c r="A827" s="25"/>
      <c r="B827" s="25"/>
      <c r="I827" s="24"/>
      <c r="K827" s="24"/>
    </row>
    <row r="828" ht="15.75" customHeight="1">
      <c r="A828" s="25"/>
      <c r="B828" s="25"/>
      <c r="I828" s="24"/>
      <c r="K828" s="24"/>
    </row>
    <row r="829" ht="15.75" customHeight="1">
      <c r="A829" s="23"/>
      <c r="B829" s="23"/>
      <c r="I829" s="24"/>
      <c r="K829" s="24"/>
    </row>
    <row r="830" ht="15.75" customHeight="1">
      <c r="A830" s="23"/>
      <c r="B830" s="23"/>
      <c r="I830" s="24"/>
      <c r="K830" s="24"/>
    </row>
    <row r="831" ht="15.75" customHeight="1">
      <c r="A831" s="25"/>
      <c r="B831" s="25"/>
      <c r="I831" s="24"/>
      <c r="K831" s="24"/>
    </row>
    <row r="832" ht="15.75" customHeight="1">
      <c r="A832" s="25"/>
      <c r="B832" s="25"/>
      <c r="I832" s="24"/>
      <c r="K832" s="24"/>
    </row>
    <row r="833" ht="15.75" customHeight="1">
      <c r="A833" s="25"/>
      <c r="B833" s="25"/>
      <c r="I833" s="24"/>
      <c r="K833" s="24"/>
    </row>
    <row r="834" ht="15.75" customHeight="1">
      <c r="A834" s="23"/>
      <c r="B834" s="23"/>
      <c r="I834" s="24"/>
      <c r="K834" s="24"/>
    </row>
    <row r="835" ht="15.75" customHeight="1">
      <c r="A835" s="25"/>
      <c r="B835" s="25"/>
      <c r="I835" s="24"/>
      <c r="K835" s="24"/>
    </row>
    <row r="836" ht="15.75" customHeight="1">
      <c r="A836" s="27"/>
      <c r="B836" s="27"/>
      <c r="I836" s="24"/>
      <c r="K836" s="24"/>
    </row>
    <row r="837" ht="15.75" customHeight="1">
      <c r="A837" s="23"/>
      <c r="B837" s="23"/>
      <c r="I837" s="24"/>
      <c r="K837" s="24"/>
      <c r="N837" s="26"/>
    </row>
    <row r="838" ht="15.75" customHeight="1">
      <c r="A838" s="25"/>
      <c r="B838" s="25"/>
      <c r="I838" s="24"/>
      <c r="K838" s="24"/>
    </row>
    <row r="839" ht="15.75" customHeight="1">
      <c r="A839" s="25"/>
      <c r="B839" s="25"/>
      <c r="I839" s="24"/>
      <c r="K839" s="24"/>
    </row>
    <row r="840" ht="15.75" customHeight="1">
      <c r="A840" s="25"/>
      <c r="B840" s="25"/>
      <c r="I840" s="24"/>
      <c r="K840" s="24"/>
    </row>
    <row r="841" ht="15.75" customHeight="1">
      <c r="A841" s="25"/>
      <c r="B841" s="25"/>
      <c r="I841" s="24"/>
      <c r="K841" s="24"/>
    </row>
    <row r="842" ht="15.75" customHeight="1">
      <c r="A842" s="25"/>
      <c r="B842" s="25"/>
      <c r="I842" s="24"/>
      <c r="K842" s="24"/>
    </row>
    <row r="843" ht="15.75" customHeight="1">
      <c r="A843" s="25"/>
      <c r="B843" s="25"/>
      <c r="I843" s="24"/>
      <c r="K843" s="24"/>
    </row>
    <row r="844" ht="15.75" customHeight="1">
      <c r="A844" s="23"/>
      <c r="B844" s="23"/>
      <c r="I844" s="24"/>
      <c r="K844" s="24"/>
    </row>
    <row r="845" ht="15.75" customHeight="1">
      <c r="A845" s="25"/>
      <c r="B845" s="25"/>
      <c r="I845" s="24"/>
      <c r="K845" s="24"/>
    </row>
    <row r="846" ht="15.75" customHeight="1">
      <c r="A846" s="25"/>
      <c r="B846" s="25"/>
      <c r="I846" s="24"/>
      <c r="K846" s="24"/>
    </row>
    <row r="847" ht="15.75" customHeight="1">
      <c r="A847" s="23"/>
      <c r="B847" s="23"/>
      <c r="I847" s="24"/>
      <c r="K847" s="24"/>
    </row>
    <row r="848" ht="15.75" customHeight="1">
      <c r="A848" s="23"/>
      <c r="B848" s="23"/>
      <c r="I848" s="24"/>
      <c r="K848" s="24"/>
    </row>
    <row r="849" ht="15.75" customHeight="1">
      <c r="A849" s="25"/>
      <c r="B849" s="25"/>
      <c r="I849" s="24"/>
      <c r="K849" s="24"/>
    </row>
    <row r="850" ht="15.75" customHeight="1">
      <c r="A850" s="25"/>
      <c r="B850" s="25"/>
      <c r="I850" s="24"/>
      <c r="K850" s="24"/>
    </row>
    <row r="851" ht="15.75" customHeight="1">
      <c r="A851" s="25"/>
      <c r="B851" s="25"/>
      <c r="I851" s="24"/>
      <c r="K851" s="24"/>
    </row>
    <row r="852" ht="15.75" customHeight="1">
      <c r="A852" s="25"/>
      <c r="B852" s="25"/>
      <c r="I852" s="24"/>
      <c r="K852" s="24"/>
    </row>
    <row r="853" ht="15.75" customHeight="1">
      <c r="A853" s="25"/>
      <c r="B853" s="25"/>
      <c r="I853" s="24"/>
      <c r="K853" s="24"/>
    </row>
    <row r="854" ht="15.75" customHeight="1">
      <c r="A854" s="23"/>
      <c r="B854" s="23"/>
      <c r="I854" s="24"/>
      <c r="K854" s="24"/>
    </row>
    <row r="855" ht="15.75" customHeight="1">
      <c r="A855" s="25"/>
      <c r="B855" s="25"/>
      <c r="I855" s="24"/>
      <c r="K855" s="24"/>
    </row>
    <row r="856" ht="15.75" customHeight="1">
      <c r="A856" s="23"/>
      <c r="B856" s="23"/>
      <c r="I856" s="24"/>
      <c r="K856" s="24"/>
    </row>
    <row r="857" ht="15.75" customHeight="1">
      <c r="A857" s="25"/>
      <c r="B857" s="25"/>
      <c r="I857" s="24"/>
      <c r="K857" s="24"/>
    </row>
    <row r="858" ht="15.75" customHeight="1">
      <c r="A858" s="25"/>
      <c r="B858" s="25"/>
      <c r="I858" s="24"/>
      <c r="K858" s="24"/>
    </row>
    <row r="859" ht="15.75" customHeight="1">
      <c r="A859" s="25"/>
      <c r="B859" s="25"/>
      <c r="I859" s="24"/>
      <c r="K859" s="24"/>
    </row>
    <row r="860" ht="15.75" customHeight="1">
      <c r="A860" s="25"/>
      <c r="B860" s="25"/>
      <c r="I860" s="24"/>
      <c r="K860" s="24"/>
    </row>
    <row r="861" ht="15.75" customHeight="1">
      <c r="A861" s="23"/>
      <c r="B861" s="23"/>
      <c r="I861" s="24"/>
      <c r="K861" s="24"/>
    </row>
    <row r="862" ht="15.75" customHeight="1">
      <c r="A862" s="25"/>
      <c r="B862" s="25"/>
      <c r="I862" s="24"/>
      <c r="K862" s="24"/>
    </row>
    <row r="863" ht="15.75" customHeight="1">
      <c r="A863" s="23"/>
      <c r="B863" s="23"/>
      <c r="I863" s="24"/>
      <c r="K863" s="24"/>
    </row>
    <row r="864" ht="15.75" customHeight="1">
      <c r="A864" s="23"/>
      <c r="B864" s="23"/>
      <c r="I864" s="24"/>
      <c r="K864" s="24"/>
    </row>
    <row r="865" ht="15.75" customHeight="1">
      <c r="A865" s="23"/>
      <c r="B865" s="23"/>
      <c r="I865" s="24"/>
      <c r="K865" s="24"/>
    </row>
    <row r="866" ht="15.75" customHeight="1">
      <c r="A866" s="23"/>
      <c r="B866" s="23"/>
      <c r="I866" s="24"/>
      <c r="K866" s="24"/>
    </row>
    <row r="867" ht="15.75" customHeight="1">
      <c r="A867" s="25"/>
      <c r="B867" s="25"/>
      <c r="I867" s="24"/>
      <c r="K867" s="24"/>
    </row>
    <row r="868" ht="15.75" customHeight="1">
      <c r="A868" s="25"/>
      <c r="B868" s="25"/>
      <c r="I868" s="24"/>
      <c r="K868" s="24"/>
    </row>
    <row r="869" ht="15.75" customHeight="1">
      <c r="A869" s="25"/>
      <c r="B869" s="25"/>
      <c r="I869" s="24"/>
      <c r="K869" s="24"/>
    </row>
    <row r="870" ht="15.75" customHeight="1">
      <c r="A870" s="23"/>
      <c r="B870" s="23"/>
      <c r="I870" s="24"/>
      <c r="K870" s="24"/>
    </row>
    <row r="871" ht="15.75" customHeight="1">
      <c r="A871" s="23"/>
      <c r="B871" s="23"/>
      <c r="I871" s="24"/>
      <c r="K871" s="24"/>
    </row>
    <row r="872" ht="15.75" customHeight="1">
      <c r="A872" s="23"/>
      <c r="B872" s="23"/>
      <c r="I872" s="24"/>
      <c r="K872" s="24"/>
    </row>
    <row r="873" ht="15.75" customHeight="1">
      <c r="A873" s="25"/>
      <c r="B873" s="25"/>
      <c r="I873" s="24"/>
      <c r="K873" s="24"/>
    </row>
    <row r="874" ht="15.75" customHeight="1">
      <c r="A874" s="25"/>
      <c r="B874" s="25"/>
      <c r="I874" s="24"/>
      <c r="K874" s="24"/>
    </row>
    <row r="875" ht="15.75" customHeight="1">
      <c r="A875" s="23"/>
      <c r="B875" s="23"/>
      <c r="I875" s="24"/>
      <c r="K875" s="24"/>
    </row>
    <row r="876" ht="15.75" customHeight="1">
      <c r="A876" s="25"/>
      <c r="B876" s="25"/>
      <c r="I876" s="24"/>
      <c r="K876" s="24"/>
    </row>
    <row r="877" ht="15.75" customHeight="1">
      <c r="A877" s="23"/>
      <c r="B877" s="23"/>
      <c r="I877" s="24"/>
      <c r="K877" s="24"/>
    </row>
    <row r="878" ht="15.75" customHeight="1">
      <c r="A878" s="25"/>
      <c r="B878" s="25"/>
      <c r="I878" s="24"/>
      <c r="K878" s="24"/>
    </row>
    <row r="879" ht="15.75" customHeight="1">
      <c r="A879" s="23"/>
      <c r="B879" s="23"/>
      <c r="I879" s="24"/>
      <c r="K879" s="24"/>
    </row>
    <row r="880" ht="15.75" customHeight="1">
      <c r="A880" s="25"/>
      <c r="B880" s="25"/>
      <c r="I880" s="24"/>
      <c r="K880" s="24"/>
    </row>
    <row r="881" ht="15.75" customHeight="1">
      <c r="A881" s="25"/>
      <c r="B881" s="25"/>
      <c r="I881" s="24"/>
      <c r="K881" s="24"/>
    </row>
    <row r="882" ht="15.75" customHeight="1">
      <c r="A882" s="23"/>
      <c r="B882" s="23"/>
      <c r="I882" s="24"/>
      <c r="K882" s="24"/>
    </row>
    <row r="883" ht="15.75" customHeight="1">
      <c r="A883" s="23"/>
      <c r="B883" s="23"/>
      <c r="I883" s="24"/>
      <c r="K883" s="24"/>
    </row>
    <row r="884" ht="15.75" customHeight="1">
      <c r="A884" s="25"/>
      <c r="B884" s="25"/>
      <c r="I884" s="24"/>
      <c r="K884" s="24"/>
    </row>
    <row r="885" ht="15.75" customHeight="1">
      <c r="A885" s="23"/>
      <c r="B885" s="23"/>
      <c r="I885" s="24"/>
      <c r="K885" s="24"/>
    </row>
    <row r="886" ht="15.75" customHeight="1">
      <c r="A886" s="23"/>
      <c r="B886" s="23"/>
      <c r="I886" s="24"/>
      <c r="K886" s="24"/>
    </row>
    <row r="887" ht="15.75" customHeight="1">
      <c r="A887" s="23"/>
      <c r="B887" s="23"/>
      <c r="I887" s="24"/>
      <c r="K887" s="24"/>
    </row>
    <row r="888" ht="15.75" customHeight="1">
      <c r="A888" s="25"/>
      <c r="B888" s="25"/>
      <c r="I888" s="24"/>
      <c r="K888" s="24"/>
    </row>
    <row r="889" ht="15.75" customHeight="1">
      <c r="A889" s="23"/>
      <c r="B889" s="23"/>
      <c r="I889" s="24"/>
      <c r="K889" s="24"/>
    </row>
    <row r="890" ht="15.75" customHeight="1">
      <c r="A890" s="25"/>
      <c r="B890" s="25"/>
      <c r="I890" s="24"/>
      <c r="K890" s="24"/>
    </row>
    <row r="891" ht="15.75" customHeight="1">
      <c r="A891" s="23"/>
      <c r="B891" s="23"/>
      <c r="I891" s="24"/>
      <c r="K891" s="24"/>
    </row>
    <row r="892" ht="15.75" customHeight="1">
      <c r="A892" s="23"/>
      <c r="B892" s="23"/>
      <c r="I892" s="24"/>
      <c r="K892" s="24"/>
    </row>
    <row r="893" ht="15.75" customHeight="1">
      <c r="A893" s="23"/>
      <c r="B893" s="23"/>
      <c r="I893" s="24"/>
      <c r="K893" s="24"/>
    </row>
    <row r="894" ht="15.75" customHeight="1">
      <c r="A894" s="25"/>
      <c r="B894" s="25"/>
      <c r="I894" s="24"/>
      <c r="K894" s="24"/>
    </row>
    <row r="895" ht="15.75" customHeight="1">
      <c r="A895" s="25"/>
      <c r="B895" s="25"/>
      <c r="I895" s="24"/>
      <c r="K895" s="24"/>
    </row>
    <row r="896" ht="15.75" customHeight="1">
      <c r="A896" s="25"/>
      <c r="B896" s="25"/>
      <c r="I896" s="24"/>
      <c r="K896" s="24"/>
    </row>
    <row r="897" ht="15.75" customHeight="1">
      <c r="A897" s="23"/>
      <c r="B897" s="23"/>
      <c r="I897" s="24"/>
      <c r="K897" s="24"/>
    </row>
    <row r="898" ht="15.75" customHeight="1">
      <c r="A898" s="25"/>
      <c r="B898" s="25"/>
      <c r="I898" s="24"/>
      <c r="K898" s="24"/>
    </row>
    <row r="899" ht="15.75" customHeight="1">
      <c r="A899" s="23"/>
      <c r="B899" s="23"/>
      <c r="I899" s="24"/>
      <c r="K899" s="24"/>
    </row>
    <row r="900" ht="15.75" customHeight="1">
      <c r="A900" s="25"/>
      <c r="B900" s="25"/>
      <c r="I900" s="24"/>
      <c r="K900" s="24"/>
    </row>
    <row r="901" ht="15.75" customHeight="1">
      <c r="A901" s="25"/>
      <c r="B901" s="25"/>
      <c r="I901" s="24"/>
      <c r="K901" s="24"/>
    </row>
    <row r="902" ht="15.75" customHeight="1">
      <c r="A902" s="25"/>
      <c r="B902" s="25"/>
      <c r="I902" s="24"/>
      <c r="K902" s="24"/>
    </row>
    <row r="903" ht="15.75" customHeight="1">
      <c r="A903" s="25"/>
      <c r="B903" s="25"/>
      <c r="I903" s="24"/>
      <c r="K903" s="24"/>
    </row>
    <row r="904" ht="15.75" customHeight="1">
      <c r="A904" s="23"/>
      <c r="B904" s="23"/>
      <c r="I904" s="24"/>
      <c r="K904" s="24"/>
    </row>
    <row r="905" ht="15.75" customHeight="1">
      <c r="A905" s="23"/>
      <c r="B905" s="23"/>
      <c r="I905" s="24"/>
      <c r="K905" s="24"/>
    </row>
    <row r="906" ht="15.75" customHeight="1">
      <c r="A906" s="23"/>
      <c r="B906" s="23"/>
      <c r="I906" s="24"/>
      <c r="K906" s="24"/>
    </row>
    <row r="907" ht="15.75" customHeight="1">
      <c r="A907" s="23"/>
      <c r="B907" s="23"/>
      <c r="I907" s="24"/>
      <c r="K907" s="24"/>
    </row>
    <row r="908" ht="15.75" customHeight="1">
      <c r="A908" s="23"/>
      <c r="B908" s="23"/>
      <c r="I908" s="24"/>
      <c r="K908" s="24"/>
    </row>
    <row r="909" ht="15.75" customHeight="1">
      <c r="A909" s="25"/>
      <c r="B909" s="25"/>
      <c r="I909" s="24"/>
      <c r="K909" s="24"/>
    </row>
    <row r="910" ht="15.75" customHeight="1">
      <c r="A910" s="25"/>
      <c r="B910" s="25"/>
      <c r="I910" s="24"/>
      <c r="K910" s="24"/>
    </row>
    <row r="911" ht="15.75" customHeight="1">
      <c r="A911" s="25"/>
      <c r="B911" s="25"/>
      <c r="I911" s="24"/>
      <c r="K911" s="24"/>
    </row>
    <row r="912" ht="15.75" customHeight="1">
      <c r="A912" s="25"/>
      <c r="B912" s="25"/>
      <c r="I912" s="24"/>
      <c r="K912" s="24"/>
      <c r="N912" s="26"/>
    </row>
    <row r="913" ht="15.75" customHeight="1">
      <c r="A913" s="25"/>
      <c r="B913" s="25"/>
      <c r="I913" s="24"/>
      <c r="K913" s="24"/>
    </row>
    <row r="914" ht="15.75" customHeight="1">
      <c r="A914" s="25"/>
      <c r="B914" s="25"/>
      <c r="I914" s="24"/>
      <c r="K914" s="24"/>
    </row>
    <row r="915" ht="15.75" customHeight="1">
      <c r="A915" s="25"/>
      <c r="B915" s="25"/>
      <c r="I915" s="24"/>
      <c r="K915" s="24"/>
    </row>
    <row r="916" ht="15.75" customHeight="1">
      <c r="A916" s="23"/>
      <c r="B916" s="23"/>
      <c r="I916" s="24"/>
      <c r="K916" s="24"/>
    </row>
    <row r="917" ht="15.75" customHeight="1">
      <c r="A917" s="25"/>
      <c r="B917" s="25"/>
      <c r="I917" s="24"/>
      <c r="K917" s="24"/>
    </row>
    <row r="918" ht="15.75" customHeight="1">
      <c r="A918" s="25"/>
      <c r="B918" s="25"/>
      <c r="I918" s="24"/>
      <c r="K918" s="24"/>
    </row>
    <row r="919" ht="15.75" customHeight="1">
      <c r="A919" s="25"/>
      <c r="B919" s="25"/>
      <c r="I919" s="24"/>
      <c r="K919" s="24"/>
    </row>
    <row r="920" ht="15.75" customHeight="1">
      <c r="A920" s="25"/>
      <c r="B920" s="25"/>
      <c r="I920" s="24"/>
      <c r="K920" s="24"/>
    </row>
    <row r="921" ht="15.75" customHeight="1">
      <c r="A921" s="23"/>
      <c r="B921" s="23"/>
      <c r="I921" s="24"/>
      <c r="K921" s="24"/>
    </row>
    <row r="922" ht="15.75" customHeight="1">
      <c r="A922" s="23"/>
      <c r="B922" s="23"/>
      <c r="I922" s="24"/>
      <c r="K922" s="24"/>
    </row>
    <row r="923" ht="15.75" customHeight="1">
      <c r="A923" s="25"/>
      <c r="B923" s="25"/>
      <c r="I923" s="24"/>
      <c r="K923" s="24"/>
    </row>
    <row r="924" ht="15.75" customHeight="1">
      <c r="A924" s="25"/>
      <c r="B924" s="25"/>
      <c r="I924" s="24"/>
      <c r="K924" s="24"/>
    </row>
    <row r="925" ht="15.75" customHeight="1">
      <c r="A925" s="25"/>
      <c r="B925" s="25"/>
      <c r="I925" s="24"/>
      <c r="K925" s="24"/>
    </row>
    <row r="926" ht="15.75" customHeight="1">
      <c r="A926" s="25"/>
      <c r="B926" s="25"/>
      <c r="I926" s="24"/>
      <c r="K926" s="24"/>
    </row>
    <row r="927" ht="15.75" customHeight="1">
      <c r="A927" s="23"/>
      <c r="B927" s="23"/>
      <c r="I927" s="24"/>
      <c r="K927" s="24"/>
    </row>
    <row r="928" ht="15.75" customHeight="1">
      <c r="A928" s="25"/>
      <c r="B928" s="25"/>
      <c r="I928" s="24"/>
      <c r="K928" s="24"/>
    </row>
    <row r="929" ht="15.75" customHeight="1">
      <c r="A929" s="23"/>
      <c r="B929" s="23"/>
      <c r="I929" s="24"/>
      <c r="K929" s="24"/>
    </row>
    <row r="930" ht="15.75" customHeight="1">
      <c r="A930" s="25"/>
      <c r="B930" s="25"/>
      <c r="I930" s="24"/>
      <c r="K930" s="24"/>
    </row>
    <row r="931" ht="15.75" customHeight="1">
      <c r="A931" s="25"/>
      <c r="B931" s="25"/>
      <c r="I931" s="24"/>
      <c r="K931" s="24"/>
    </row>
    <row r="932" ht="15.75" customHeight="1">
      <c r="A932" s="23"/>
      <c r="B932" s="23"/>
      <c r="I932" s="24"/>
      <c r="K932" s="24"/>
    </row>
    <row r="933" ht="15.75" customHeight="1">
      <c r="A933" s="23"/>
      <c r="B933" s="23"/>
      <c r="I933" s="24"/>
      <c r="K933" s="24"/>
    </row>
    <row r="934" ht="15.75" customHeight="1">
      <c r="A934" s="23"/>
      <c r="B934" s="23"/>
      <c r="I934" s="24"/>
      <c r="K934" s="24"/>
    </row>
    <row r="935" ht="15.75" customHeight="1">
      <c r="A935" s="23"/>
      <c r="B935" s="23"/>
      <c r="I935" s="24"/>
      <c r="K935" s="24"/>
    </row>
    <row r="936" ht="15.75" customHeight="1">
      <c r="A936" s="23"/>
      <c r="B936" s="23"/>
      <c r="I936" s="24"/>
      <c r="K936" s="24"/>
    </row>
    <row r="937" ht="15.75" customHeight="1">
      <c r="A937" s="25"/>
      <c r="B937" s="25"/>
      <c r="I937" s="24"/>
      <c r="K937" s="24"/>
    </row>
    <row r="938" ht="15.75" customHeight="1">
      <c r="A938" s="25"/>
      <c r="B938" s="25"/>
      <c r="I938" s="24"/>
      <c r="K938" s="24"/>
    </row>
    <row r="939" ht="15.75" customHeight="1">
      <c r="A939" s="25"/>
      <c r="B939" s="25"/>
      <c r="I939" s="24"/>
      <c r="K939" s="24"/>
    </row>
    <row r="940" ht="15.75" customHeight="1">
      <c r="A940" s="25"/>
      <c r="B940" s="25"/>
      <c r="I940" s="24"/>
      <c r="K940" s="24"/>
    </row>
    <row r="941" ht="15.75" customHeight="1">
      <c r="A941" s="25"/>
      <c r="B941" s="25"/>
      <c r="I941" s="24"/>
      <c r="K941" s="24"/>
    </row>
    <row r="942" ht="15.75" customHeight="1">
      <c r="A942" s="25"/>
      <c r="B942" s="25"/>
      <c r="I942" s="24"/>
      <c r="K942" s="24"/>
    </row>
    <row r="943" ht="15.75" customHeight="1">
      <c r="A943" s="25"/>
      <c r="B943" s="25"/>
      <c r="I943" s="24"/>
      <c r="K943" s="24"/>
    </row>
    <row r="944" ht="15.75" customHeight="1">
      <c r="A944" s="25"/>
      <c r="B944" s="25"/>
      <c r="I944" s="24"/>
      <c r="K944" s="24"/>
    </row>
    <row r="945" ht="15.75" customHeight="1">
      <c r="A945" s="25"/>
      <c r="B945" s="25"/>
      <c r="I945" s="24"/>
      <c r="K945" s="24"/>
    </row>
    <row r="946" ht="15.75" customHeight="1">
      <c r="A946" s="25"/>
      <c r="B946" s="25"/>
      <c r="I946" s="24"/>
      <c r="K946" s="24"/>
    </row>
    <row r="947" ht="15.75" customHeight="1">
      <c r="A947" s="25"/>
      <c r="B947" s="25"/>
      <c r="I947" s="24"/>
      <c r="K947" s="24"/>
    </row>
    <row r="948" ht="15.75" customHeight="1">
      <c r="A948" s="25"/>
      <c r="B948" s="25"/>
      <c r="I948" s="24"/>
      <c r="K948" s="24"/>
    </row>
    <row r="949" ht="15.75" customHeight="1">
      <c r="A949" s="25"/>
      <c r="B949" s="25"/>
      <c r="I949" s="24"/>
      <c r="K949" s="24"/>
    </row>
    <row r="950" ht="15.75" customHeight="1">
      <c r="A950" s="25"/>
      <c r="B950" s="25"/>
      <c r="I950" s="24"/>
      <c r="K950" s="24"/>
    </row>
    <row r="951" ht="15.75" customHeight="1">
      <c r="A951" s="25"/>
      <c r="B951" s="25"/>
      <c r="I951" s="24"/>
      <c r="K951" s="24"/>
    </row>
    <row r="952" ht="15.75" customHeight="1">
      <c r="A952" s="25"/>
      <c r="B952" s="25"/>
      <c r="I952" s="24"/>
      <c r="K952" s="24"/>
    </row>
    <row r="953" ht="15.75" customHeight="1">
      <c r="A953" s="25"/>
      <c r="B953" s="25"/>
      <c r="I953" s="24"/>
      <c r="K953" s="24"/>
    </row>
    <row r="954" ht="15.75" customHeight="1">
      <c r="A954" s="25"/>
      <c r="B954" s="25"/>
      <c r="I954" s="24"/>
      <c r="K954" s="24"/>
    </row>
    <row r="955" ht="15.75" customHeight="1">
      <c r="A955" s="25"/>
      <c r="B955" s="25"/>
      <c r="I955" s="24"/>
      <c r="K955" s="24"/>
    </row>
    <row r="956" ht="15.75" customHeight="1">
      <c r="A956" s="25"/>
      <c r="B956" s="25"/>
      <c r="I956" s="24"/>
      <c r="K956" s="24"/>
    </row>
    <row r="957" ht="15.75" customHeight="1">
      <c r="A957" s="25"/>
      <c r="B957" s="25"/>
      <c r="I957" s="24"/>
      <c r="K957" s="24"/>
    </row>
    <row r="958" ht="15.75" customHeight="1">
      <c r="A958" s="25"/>
      <c r="B958" s="25"/>
      <c r="I958" s="24"/>
      <c r="K958" s="24"/>
    </row>
    <row r="959" ht="15.75" customHeight="1">
      <c r="A959" s="25"/>
      <c r="B959" s="25"/>
      <c r="I959" s="24"/>
      <c r="K959" s="24"/>
    </row>
    <row r="960" ht="15.75" customHeight="1">
      <c r="A960" s="25"/>
      <c r="B960" s="25"/>
      <c r="I960" s="24"/>
      <c r="K960" s="24"/>
    </row>
    <row r="961" ht="15.75" customHeight="1">
      <c r="A961" s="25"/>
      <c r="B961" s="25"/>
      <c r="I961" s="24"/>
      <c r="K961" s="24"/>
    </row>
    <row r="962" ht="15.75" customHeight="1">
      <c r="A962" s="25"/>
      <c r="B962" s="25"/>
      <c r="I962" s="24"/>
      <c r="K962" s="24"/>
    </row>
    <row r="963" ht="15.75" customHeight="1">
      <c r="A963" s="25"/>
      <c r="B963" s="25"/>
      <c r="I963" s="24"/>
      <c r="K963" s="24"/>
    </row>
    <row r="964" ht="15.75" customHeight="1">
      <c r="A964" s="25"/>
      <c r="B964" s="25"/>
      <c r="I964" s="24"/>
      <c r="K964" s="24"/>
    </row>
    <row r="965" ht="15.75" customHeight="1">
      <c r="A965" s="25"/>
      <c r="B965" s="25"/>
      <c r="I965" s="24"/>
      <c r="K965" s="24"/>
    </row>
    <row r="966" ht="15.75" customHeight="1">
      <c r="A966" s="25"/>
      <c r="B966" s="25"/>
      <c r="I966" s="24"/>
      <c r="K966" s="24"/>
    </row>
    <row r="967" ht="15.75" customHeight="1">
      <c r="A967" s="25"/>
      <c r="B967" s="25"/>
      <c r="I967" s="24"/>
      <c r="K967" s="24"/>
    </row>
    <row r="968" ht="15.75" customHeight="1">
      <c r="A968" s="25"/>
      <c r="B968" s="25"/>
      <c r="I968" s="24"/>
      <c r="K968" s="24"/>
    </row>
    <row r="969" ht="15.75" customHeight="1">
      <c r="A969" s="25"/>
      <c r="B969" s="25"/>
      <c r="I969" s="24"/>
      <c r="K969" s="24"/>
    </row>
    <row r="970" ht="15.75" customHeight="1">
      <c r="A970" s="25"/>
      <c r="B970" s="25"/>
      <c r="I970" s="24"/>
      <c r="K970" s="24"/>
    </row>
    <row r="971" ht="15.75" customHeight="1">
      <c r="A971" s="25"/>
      <c r="B971" s="25"/>
      <c r="I971" s="24"/>
      <c r="K971" s="24"/>
    </row>
    <row r="972" ht="15.75" customHeight="1">
      <c r="A972" s="25"/>
      <c r="B972" s="25"/>
      <c r="I972" s="24"/>
      <c r="K972" s="24"/>
    </row>
    <row r="973" ht="15.75" customHeight="1">
      <c r="A973" s="25"/>
      <c r="B973" s="25"/>
      <c r="I973" s="24"/>
      <c r="K973" s="24"/>
    </row>
    <row r="974" ht="15.75" customHeight="1">
      <c r="A974" s="25"/>
      <c r="B974" s="25"/>
      <c r="I974" s="24"/>
      <c r="K974" s="24"/>
    </row>
    <row r="975" ht="15.75" customHeight="1">
      <c r="A975" s="25"/>
      <c r="B975" s="25"/>
      <c r="I975" s="24"/>
      <c r="K975" s="24"/>
    </row>
    <row r="976" ht="15.75" customHeight="1">
      <c r="A976" s="25"/>
      <c r="B976" s="25"/>
      <c r="I976" s="24"/>
      <c r="K976" s="24"/>
    </row>
    <row r="977" ht="15.75" customHeight="1">
      <c r="A977" s="25"/>
      <c r="B977" s="25"/>
      <c r="I977" s="24"/>
      <c r="K977" s="24"/>
    </row>
    <row r="978" ht="15.75" customHeight="1">
      <c r="A978" s="25"/>
      <c r="B978" s="25"/>
      <c r="I978" s="24"/>
      <c r="K978" s="24"/>
    </row>
    <row r="979" ht="15.75" customHeight="1">
      <c r="A979" s="25"/>
      <c r="B979" s="25"/>
      <c r="I979" s="24"/>
      <c r="K979" s="24"/>
    </row>
    <row r="980" ht="15.75" customHeight="1">
      <c r="A980" s="25"/>
      <c r="B980" s="25"/>
      <c r="I980" s="24"/>
      <c r="K980" s="24"/>
    </row>
    <row r="981" ht="15.75" customHeight="1">
      <c r="A981" s="25"/>
      <c r="B981" s="25"/>
      <c r="I981" s="24"/>
      <c r="K981" s="24"/>
    </row>
    <row r="982" ht="15.75" customHeight="1">
      <c r="A982" s="25"/>
      <c r="B982" s="25"/>
      <c r="I982" s="24"/>
      <c r="K982" s="24"/>
    </row>
    <row r="983" ht="15.75" customHeight="1">
      <c r="A983" s="25"/>
      <c r="B983" s="25"/>
      <c r="I983" s="24"/>
      <c r="K983" s="24"/>
    </row>
    <row r="984" ht="15.75" customHeight="1">
      <c r="A984" s="25"/>
      <c r="B984" s="25"/>
      <c r="I984" s="24"/>
      <c r="K984" s="24"/>
    </row>
    <row r="985" ht="15.75" customHeight="1">
      <c r="A985" s="25"/>
      <c r="B985" s="25"/>
      <c r="I985" s="24"/>
      <c r="K985" s="24"/>
    </row>
    <row r="986" ht="15.75" customHeight="1">
      <c r="A986" s="25"/>
      <c r="B986" s="25"/>
      <c r="I986" s="24"/>
      <c r="K986" s="24"/>
    </row>
    <row r="987" ht="15.75" customHeight="1">
      <c r="A987" s="25"/>
      <c r="B987" s="25"/>
      <c r="I987" s="24"/>
      <c r="K987" s="24"/>
    </row>
    <row r="988" ht="15.75" customHeight="1">
      <c r="A988" s="23"/>
      <c r="B988" s="23"/>
      <c r="I988" s="24"/>
      <c r="K988" s="24"/>
    </row>
    <row r="989" ht="15.75" customHeight="1">
      <c r="A989" s="25"/>
      <c r="B989" s="25"/>
      <c r="I989" s="24"/>
      <c r="K989" s="24"/>
    </row>
    <row r="990" ht="15.75" customHeight="1">
      <c r="A990" s="25"/>
      <c r="B990" s="25"/>
      <c r="I990" s="24"/>
      <c r="K990" s="24"/>
    </row>
    <row r="991" ht="15.75" customHeight="1">
      <c r="A991" s="25"/>
      <c r="B991" s="25"/>
      <c r="I991" s="24"/>
      <c r="K991" s="24"/>
    </row>
    <row r="992" ht="15.75" customHeight="1">
      <c r="A992" s="23"/>
      <c r="B992" s="23"/>
      <c r="I992" s="24"/>
      <c r="K992" s="24"/>
    </row>
    <row r="993" ht="15.75" customHeight="1">
      <c r="A993" s="25"/>
      <c r="B993" s="25"/>
      <c r="I993" s="24"/>
      <c r="K993" s="24"/>
    </row>
    <row r="994" ht="15.75" customHeight="1">
      <c r="A994" s="25"/>
      <c r="B994" s="25"/>
      <c r="I994" s="24"/>
      <c r="K994" s="24"/>
    </row>
    <row r="995" ht="15.75" customHeight="1">
      <c r="A995" s="25"/>
      <c r="B995" s="25"/>
      <c r="I995" s="24"/>
      <c r="K995" s="24"/>
    </row>
    <row r="996" ht="15.75" customHeight="1">
      <c r="A996" s="23"/>
      <c r="B996" s="23"/>
      <c r="I996" s="24"/>
      <c r="K996" s="24"/>
    </row>
    <row r="997" ht="15.75" customHeight="1">
      <c r="A997" s="25"/>
      <c r="B997" s="25"/>
      <c r="I997" s="24"/>
      <c r="K997" s="24"/>
    </row>
    <row r="998" ht="15.75" customHeight="1">
      <c r="A998" s="25"/>
      <c r="B998" s="25"/>
      <c r="I998" s="24"/>
      <c r="K998" s="24"/>
    </row>
    <row r="999" ht="15.75" customHeight="1">
      <c r="A999" s="25"/>
      <c r="B999" s="25"/>
      <c r="I999" s="24"/>
      <c r="K999" s="24"/>
    </row>
    <row r="1000" ht="15.75" customHeight="1">
      <c r="A1000" s="25"/>
      <c r="B1000" s="25"/>
      <c r="I1000" s="24"/>
      <c r="K1000" s="24"/>
    </row>
    <row r="1001" ht="15.75" customHeight="1">
      <c r="A1001" s="25"/>
      <c r="B1001" s="25"/>
      <c r="I1001" s="24"/>
      <c r="K1001" s="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66.33"/>
  </cols>
  <sheetData>
    <row r="1" ht="27.0" customHeight="1">
      <c r="A1" s="28" t="s">
        <v>2341</v>
      </c>
      <c r="B1" s="28" t="s">
        <v>2342</v>
      </c>
    </row>
    <row r="2" ht="27.0" customHeight="1">
      <c r="A2" s="29" t="s">
        <v>2343</v>
      </c>
      <c r="B2" s="30">
        <f>SUM(Datos_Limpios!K2:K754)</f>
        <v>2944620.61</v>
      </c>
    </row>
    <row r="3" ht="27.0" customHeight="1">
      <c r="A3" s="29" t="s">
        <v>2344</v>
      </c>
      <c r="B3" s="31">
        <f>AVERAGE(Datos_Limpios!K2:K754)</f>
        <v>3910.518738</v>
      </c>
    </row>
    <row r="4" ht="27.0" customHeight="1">
      <c r="A4" s="29" t="s">
        <v>2345</v>
      </c>
      <c r="B4" s="29">
        <f>COUNT(Datos_Limpios!J2:J754)</f>
        <v>753</v>
      </c>
    </row>
    <row r="5" ht="27.0" customHeight="1">
      <c r="A5" s="29" t="s">
        <v>2346</v>
      </c>
      <c r="B5" s="32" t="s">
        <v>2347</v>
      </c>
    </row>
    <row r="6" ht="27.0" customHeight="1">
      <c r="A6" s="29" t="s">
        <v>2348</v>
      </c>
      <c r="B6" s="32" t="s">
        <v>2349</v>
      </c>
    </row>
    <row r="7" ht="27.0" customHeight="1">
      <c r="A7" s="29" t="s">
        <v>2350</v>
      </c>
      <c r="B7" s="32" t="s">
        <v>2351</v>
      </c>
    </row>
    <row r="8">
      <c r="A8" s="29" t="s">
        <v>2352</v>
      </c>
      <c r="B8" s="33" t="s">
        <v>2353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1" width="15.44"/>
    <col customWidth="1" hidden="1" min="2" max="2" width="13.33"/>
    <col customWidth="1" min="3" max="3" width="15.44"/>
    <col customWidth="1" min="4" max="4" width="12.56"/>
    <col customWidth="1" hidden="1" min="5" max="5" width="10.56"/>
    <col customWidth="1" min="6" max="6" width="10.56"/>
    <col customWidth="1" min="7" max="7" width="37.11"/>
    <col customWidth="1" min="8" max="8" width="12.89"/>
    <col customWidth="1" min="9" max="26" width="10.56"/>
  </cols>
  <sheetData>
    <row r="1" ht="15.75" customHeight="1">
      <c r="A1" s="14" t="s">
        <v>1</v>
      </c>
      <c r="B1" s="14" t="s">
        <v>2354</v>
      </c>
      <c r="C1" s="15" t="str">
        <f t="array" ref="C1:D1000">{A1:B1; SORT(A2:B1000, 2, FALSE)}</f>
        <v>Ciudad</v>
      </c>
      <c r="D1" s="34" t="s">
        <v>2354</v>
      </c>
      <c r="G1" s="14" t="s">
        <v>2335</v>
      </c>
      <c r="H1" s="35" t="s">
        <v>2355</v>
      </c>
    </row>
    <row r="2" ht="15.75" customHeight="1">
      <c r="A2" s="36" t="str">
        <f t="array" ref="A2:A9">UNIQUE(Datos_Limpios!D2:D1000)</f>
        <v>Monterrey</v>
      </c>
      <c r="B2" s="36">
        <f>SUMIF(Datos_Limpios!D:D, A2, Datos_Limpios!K:K)</f>
        <v>541137.36</v>
      </c>
      <c r="C2" s="36" t="s">
        <v>2349</v>
      </c>
      <c r="D2" s="24">
        <v>541137.3600000002</v>
      </c>
      <c r="G2" s="37" t="str">
        <f t="array" ref="G2:G5">UNIQUE(Datos_Limpios!B2:B1000)</f>
        <v>October</v>
      </c>
      <c r="H2" s="24">
        <f>SUMIF(Datos_Limpios!B:B, G2, Datos_Limpios!K:K)</f>
        <v>1006043.65</v>
      </c>
    </row>
    <row r="3" ht="15.75" customHeight="1">
      <c r="A3" s="36" t="s">
        <v>2356</v>
      </c>
      <c r="B3" s="36">
        <f>SUMIF(Datos_Limpios!D:D, A3, Datos_Limpios!K:K)</f>
        <v>461010.68</v>
      </c>
      <c r="C3" s="36" t="s">
        <v>2357</v>
      </c>
      <c r="D3" s="24">
        <v>517689.6300000001</v>
      </c>
      <c r="G3" s="37" t="s">
        <v>2358</v>
      </c>
      <c r="H3" s="24">
        <f>SUMIF(Datos_Limpios!B:B, G3, Datos_Limpios!K:K)</f>
        <v>1027372.46</v>
      </c>
    </row>
    <row r="4" ht="15.75" customHeight="1">
      <c r="A4" s="36" t="s">
        <v>2357</v>
      </c>
      <c r="B4" s="36">
        <f>SUMIF(Datos_Limpios!D:D, A4, Datos_Limpios!K:K)</f>
        <v>517689.63</v>
      </c>
      <c r="C4" s="36" t="s">
        <v>57</v>
      </c>
      <c r="D4" s="24">
        <v>492790.51999999984</v>
      </c>
      <c r="G4" s="37" t="s">
        <v>2359</v>
      </c>
      <c r="H4" s="24">
        <f>SUMIF(Datos_Limpios!B:B, G4, Datos_Limpios!K:K)</f>
        <v>911204.5</v>
      </c>
    </row>
    <row r="5" ht="15.75" customHeight="1">
      <c r="A5" s="36" t="s">
        <v>34</v>
      </c>
      <c r="B5" s="36">
        <f>SUMIF(Datos_Limpios!D:D, A5, Datos_Limpios!K:K)</f>
        <v>402243.58</v>
      </c>
      <c r="C5" s="36" t="s">
        <v>2360</v>
      </c>
      <c r="D5" s="24">
        <v>475354.1100000001</v>
      </c>
      <c r="G5" s="37"/>
      <c r="H5" s="24"/>
    </row>
    <row r="6" ht="15.75" customHeight="1">
      <c r="A6" s="36" t="s">
        <v>57</v>
      </c>
      <c r="B6" s="36">
        <f>SUMIF(Datos_Limpios!D:D, A6, Datos_Limpios!K:K)</f>
        <v>492790.52</v>
      </c>
      <c r="C6" s="36" t="s">
        <v>2356</v>
      </c>
      <c r="D6" s="24">
        <v>461010.6800000001</v>
      </c>
      <c r="H6" s="24"/>
    </row>
    <row r="7" ht="15.75" customHeight="1">
      <c r="A7" s="36" t="s">
        <v>2360</v>
      </c>
      <c r="B7" s="36">
        <f>SUMIF(Datos_Limpios!D:D, A7, Datos_Limpios!K:K)</f>
        <v>475354.11</v>
      </c>
      <c r="C7" s="36" t="s">
        <v>34</v>
      </c>
      <c r="D7" s="24">
        <v>402243.58000000013</v>
      </c>
      <c r="H7" s="24"/>
    </row>
    <row r="8" ht="15.75" customHeight="1">
      <c r="A8" s="36" t="s">
        <v>2361</v>
      </c>
      <c r="B8" s="36">
        <f>SUMIF(Datos_Limpios!D:D, A8, Datos_Limpios!K:K)</f>
        <v>54394.73</v>
      </c>
      <c r="C8" s="36" t="s">
        <v>2361</v>
      </c>
      <c r="D8" s="24">
        <v>54394.72999999999</v>
      </c>
      <c r="H8" s="24"/>
    </row>
    <row r="9" ht="15.75" customHeight="1">
      <c r="A9" s="36"/>
      <c r="C9" s="36"/>
      <c r="D9" s="24"/>
      <c r="H9" s="24"/>
    </row>
    <row r="10" ht="15.75" customHeight="1">
      <c r="C10" s="36"/>
      <c r="D10" s="24"/>
      <c r="H10" s="24"/>
    </row>
    <row r="11" ht="15.75" customHeight="1">
      <c r="C11" s="36"/>
      <c r="D11" s="24"/>
      <c r="H11" s="24"/>
    </row>
    <row r="12" ht="15.75" customHeight="1">
      <c r="C12" s="36"/>
      <c r="D12" s="24"/>
      <c r="H12" s="24"/>
    </row>
    <row r="13" ht="15.75" customHeight="1">
      <c r="C13" s="36"/>
      <c r="D13" s="24"/>
      <c r="H13" s="24"/>
    </row>
    <row r="14" ht="15.75" customHeight="1">
      <c r="C14" s="36"/>
      <c r="D14" s="24"/>
      <c r="H14" s="24"/>
    </row>
    <row r="15" ht="15.75" customHeight="1">
      <c r="C15" s="36"/>
      <c r="D15" s="24"/>
      <c r="H15" s="24"/>
    </row>
    <row r="16" ht="15.75" customHeight="1">
      <c r="C16" s="36"/>
      <c r="D16" s="24"/>
      <c r="H16" s="24"/>
    </row>
    <row r="17" ht="15.75" customHeight="1">
      <c r="C17" s="36"/>
      <c r="D17" s="24"/>
      <c r="H17" s="24"/>
    </row>
    <row r="18" ht="15.75" customHeight="1">
      <c r="C18" s="36"/>
      <c r="D18" s="24"/>
      <c r="H18" s="24"/>
    </row>
    <row r="19" ht="15.75" customHeight="1">
      <c r="C19" s="36"/>
      <c r="D19" s="24"/>
      <c r="H19" s="24"/>
    </row>
    <row r="20" ht="15.75" customHeight="1">
      <c r="C20" s="36"/>
      <c r="D20" s="24"/>
      <c r="H20" s="24"/>
    </row>
    <row r="21" ht="15.75" customHeight="1">
      <c r="C21" s="36"/>
      <c r="D21" s="24"/>
      <c r="H21" s="24"/>
    </row>
    <row r="22" ht="15.75" customHeight="1">
      <c r="C22" s="36"/>
      <c r="D22" s="24"/>
      <c r="H22" s="24"/>
    </row>
    <row r="23" ht="15.75" customHeight="1">
      <c r="C23" s="36"/>
      <c r="D23" s="24"/>
      <c r="H23" s="24"/>
    </row>
    <row r="24" ht="15.75" customHeight="1">
      <c r="C24" s="36"/>
      <c r="D24" s="24"/>
      <c r="H24" s="24"/>
    </row>
    <row r="25" ht="15.75" customHeight="1">
      <c r="C25" s="36"/>
      <c r="D25" s="24"/>
      <c r="H25" s="24"/>
    </row>
    <row r="26" ht="15.75" customHeight="1">
      <c r="C26" s="36"/>
      <c r="D26" s="24"/>
      <c r="H26" s="24"/>
    </row>
    <row r="27" ht="15.75" customHeight="1">
      <c r="C27" s="36"/>
      <c r="D27" s="24"/>
      <c r="H27" s="24"/>
    </row>
    <row r="28" ht="15.75" customHeight="1">
      <c r="C28" s="36"/>
      <c r="D28" s="24"/>
      <c r="H28" s="24"/>
    </row>
    <row r="29" ht="15.75" customHeight="1">
      <c r="C29" s="36"/>
      <c r="D29" s="24"/>
      <c r="G29" s="14" t="s">
        <v>2362</v>
      </c>
      <c r="H29" s="24"/>
    </row>
    <row r="30" ht="15.75" customHeight="1">
      <c r="C30" s="36"/>
      <c r="D30" s="24"/>
      <c r="H30" s="24"/>
    </row>
    <row r="31" ht="15.75" customHeight="1">
      <c r="C31" s="36"/>
      <c r="D31" s="24"/>
      <c r="G31" s="38" t="s">
        <v>2363</v>
      </c>
      <c r="H31" s="24"/>
    </row>
    <row r="32" ht="15.75" customHeight="1">
      <c r="C32" s="36"/>
      <c r="D32" s="24"/>
      <c r="G32" s="38" t="s">
        <v>2364</v>
      </c>
      <c r="H32" s="24"/>
    </row>
    <row r="33" ht="15.75" customHeight="1">
      <c r="C33" s="36"/>
      <c r="D33" s="24"/>
      <c r="G33" s="38" t="s">
        <v>2365</v>
      </c>
      <c r="H33" s="24"/>
    </row>
    <row r="34" ht="15.75" customHeight="1">
      <c r="C34" s="36"/>
      <c r="D34" s="24"/>
      <c r="H34" s="24"/>
    </row>
    <row r="35" ht="15.75" customHeight="1">
      <c r="C35" s="36"/>
      <c r="D35" s="24"/>
      <c r="H35" s="24"/>
    </row>
    <row r="36" ht="15.75" customHeight="1">
      <c r="C36" s="36"/>
      <c r="D36" s="24"/>
      <c r="H36" s="24"/>
    </row>
    <row r="37" ht="15.75" customHeight="1">
      <c r="C37" s="36"/>
      <c r="D37" s="24"/>
      <c r="H37" s="24"/>
    </row>
    <row r="38" ht="15.75" customHeight="1">
      <c r="C38" s="36"/>
      <c r="D38" s="24"/>
      <c r="H38" s="24"/>
    </row>
    <row r="39" ht="15.75" customHeight="1">
      <c r="C39" s="36"/>
      <c r="D39" s="24"/>
      <c r="H39" s="24"/>
    </row>
    <row r="40" ht="15.75" customHeight="1">
      <c r="C40" s="36"/>
      <c r="D40" s="24"/>
      <c r="H40" s="24"/>
    </row>
    <row r="41" ht="15.75" customHeight="1">
      <c r="C41" s="36"/>
      <c r="D41" s="24"/>
      <c r="H41" s="24"/>
    </row>
    <row r="42" ht="15.75" customHeight="1">
      <c r="C42" s="36"/>
      <c r="D42" s="24"/>
      <c r="H42" s="24"/>
    </row>
    <row r="43" ht="15.75" customHeight="1">
      <c r="C43" s="36"/>
      <c r="D43" s="24"/>
      <c r="H43" s="24"/>
    </row>
    <row r="44" ht="15.75" customHeight="1">
      <c r="C44" s="36"/>
      <c r="D44" s="24"/>
      <c r="H44" s="24"/>
    </row>
    <row r="45" ht="15.75" customHeight="1">
      <c r="C45" s="36"/>
      <c r="D45" s="24"/>
      <c r="H45" s="24"/>
    </row>
    <row r="46" ht="15.75" customHeight="1">
      <c r="C46" s="36"/>
      <c r="D46" s="24"/>
      <c r="H46" s="24"/>
    </row>
    <row r="47" ht="15.75" customHeight="1">
      <c r="C47" s="36"/>
      <c r="D47" s="24"/>
      <c r="H47" s="24"/>
    </row>
    <row r="48" ht="15.75" customHeight="1">
      <c r="C48" s="36"/>
      <c r="D48" s="24"/>
      <c r="H48" s="24"/>
    </row>
    <row r="49" ht="15.75" customHeight="1">
      <c r="C49" s="36"/>
      <c r="D49" s="24"/>
      <c r="H49" s="24"/>
    </row>
    <row r="50" ht="15.75" customHeight="1">
      <c r="C50" s="36"/>
      <c r="D50" s="24"/>
      <c r="H50" s="24"/>
    </row>
    <row r="51" ht="15.75" customHeight="1">
      <c r="C51" s="36"/>
      <c r="D51" s="24"/>
      <c r="H51" s="24"/>
    </row>
    <row r="52" ht="15.75" customHeight="1">
      <c r="C52" s="36"/>
      <c r="D52" s="24"/>
      <c r="H52" s="24"/>
    </row>
    <row r="53" ht="15.75" customHeight="1">
      <c r="C53" s="36"/>
      <c r="D53" s="24"/>
      <c r="H53" s="24"/>
    </row>
    <row r="54" ht="15.75" customHeight="1">
      <c r="C54" s="36"/>
      <c r="D54" s="24"/>
      <c r="H54" s="24"/>
    </row>
    <row r="55" ht="15.75" customHeight="1">
      <c r="C55" s="36"/>
      <c r="D55" s="24"/>
      <c r="H55" s="24"/>
    </row>
    <row r="56" ht="15.75" customHeight="1">
      <c r="C56" s="36"/>
      <c r="D56" s="24"/>
      <c r="H56" s="24"/>
    </row>
    <row r="57" ht="15.75" customHeight="1">
      <c r="C57" s="36"/>
      <c r="D57" s="24"/>
      <c r="H57" s="24"/>
    </row>
    <row r="58" ht="15.75" customHeight="1">
      <c r="C58" s="36"/>
      <c r="D58" s="24"/>
      <c r="H58" s="24"/>
    </row>
    <row r="59" ht="15.75" customHeight="1">
      <c r="C59" s="36"/>
      <c r="D59" s="24"/>
      <c r="H59" s="24"/>
    </row>
    <row r="60" ht="15.75" customHeight="1">
      <c r="C60" s="36"/>
      <c r="D60" s="24"/>
      <c r="H60" s="24"/>
    </row>
    <row r="61" ht="15.75" customHeight="1">
      <c r="C61" s="36"/>
      <c r="D61" s="24"/>
      <c r="H61" s="24"/>
    </row>
    <row r="62" ht="15.75" customHeight="1">
      <c r="C62" s="36"/>
      <c r="D62" s="24"/>
      <c r="H62" s="24"/>
    </row>
    <row r="63" ht="15.75" customHeight="1">
      <c r="C63" s="36"/>
      <c r="D63" s="24"/>
      <c r="H63" s="24"/>
    </row>
    <row r="64" ht="15.75" customHeight="1">
      <c r="C64" s="36"/>
      <c r="D64" s="24"/>
      <c r="H64" s="24"/>
    </row>
    <row r="65" ht="15.75" customHeight="1">
      <c r="C65" s="36"/>
      <c r="D65" s="24"/>
      <c r="H65" s="24"/>
    </row>
    <row r="66" ht="15.75" customHeight="1">
      <c r="C66" s="36"/>
      <c r="D66" s="24"/>
      <c r="H66" s="24"/>
    </row>
    <row r="67" ht="15.75" customHeight="1">
      <c r="C67" s="36"/>
      <c r="D67" s="24"/>
      <c r="H67" s="24"/>
    </row>
    <row r="68" ht="15.75" customHeight="1">
      <c r="C68" s="36"/>
      <c r="D68" s="24"/>
      <c r="H68" s="24"/>
    </row>
    <row r="69" ht="15.75" customHeight="1">
      <c r="C69" s="36"/>
      <c r="D69" s="24"/>
      <c r="H69" s="24"/>
    </row>
    <row r="70" ht="15.75" customHeight="1">
      <c r="C70" s="36"/>
      <c r="D70" s="24"/>
      <c r="H70" s="24"/>
    </row>
    <row r="71" ht="15.75" customHeight="1">
      <c r="C71" s="36"/>
      <c r="D71" s="24"/>
      <c r="H71" s="24"/>
    </row>
    <row r="72" ht="15.75" customHeight="1">
      <c r="C72" s="36"/>
      <c r="D72" s="24"/>
      <c r="H72" s="24"/>
    </row>
    <row r="73" ht="15.75" customHeight="1">
      <c r="C73" s="36"/>
      <c r="D73" s="24"/>
      <c r="H73" s="24"/>
    </row>
    <row r="74" ht="15.75" customHeight="1">
      <c r="C74" s="36"/>
      <c r="D74" s="24"/>
      <c r="H74" s="24"/>
    </row>
    <row r="75" ht="15.75" customHeight="1">
      <c r="C75" s="36"/>
      <c r="D75" s="24"/>
      <c r="H75" s="24"/>
    </row>
    <row r="76" ht="15.75" customHeight="1">
      <c r="C76" s="36"/>
      <c r="D76" s="24"/>
      <c r="H76" s="24"/>
    </row>
    <row r="77" ht="15.75" customHeight="1">
      <c r="C77" s="36"/>
      <c r="D77" s="24"/>
      <c r="H77" s="24"/>
    </row>
    <row r="78" ht="15.75" customHeight="1">
      <c r="C78" s="36"/>
      <c r="D78" s="24"/>
      <c r="H78" s="24"/>
    </row>
    <row r="79" ht="15.75" customHeight="1">
      <c r="C79" s="36"/>
      <c r="D79" s="24"/>
      <c r="H79" s="24"/>
    </row>
    <row r="80" ht="15.75" customHeight="1">
      <c r="C80" s="36"/>
      <c r="D80" s="24"/>
      <c r="H80" s="24"/>
    </row>
    <row r="81" ht="15.75" customHeight="1">
      <c r="C81" s="36"/>
      <c r="D81" s="24"/>
      <c r="H81" s="24"/>
    </row>
    <row r="82" ht="15.75" customHeight="1">
      <c r="C82" s="36"/>
      <c r="D82" s="24"/>
      <c r="H82" s="24"/>
    </row>
    <row r="83" ht="15.75" customHeight="1">
      <c r="C83" s="36"/>
      <c r="D83" s="24"/>
      <c r="H83" s="24"/>
    </row>
    <row r="84" ht="15.75" customHeight="1">
      <c r="C84" s="36"/>
      <c r="D84" s="24"/>
      <c r="H84" s="24"/>
    </row>
    <row r="85" ht="15.75" customHeight="1">
      <c r="C85" s="36"/>
      <c r="D85" s="24"/>
      <c r="H85" s="24"/>
    </row>
    <row r="86" ht="15.75" customHeight="1">
      <c r="C86" s="36"/>
      <c r="D86" s="24"/>
      <c r="H86" s="24"/>
    </row>
    <row r="87" ht="15.75" customHeight="1">
      <c r="C87" s="36"/>
      <c r="D87" s="24"/>
      <c r="H87" s="24"/>
    </row>
    <row r="88" ht="15.75" customHeight="1">
      <c r="C88" s="36"/>
      <c r="D88" s="24"/>
      <c r="H88" s="24"/>
    </row>
    <row r="89" ht="15.75" customHeight="1">
      <c r="C89" s="36"/>
      <c r="D89" s="24"/>
      <c r="H89" s="24"/>
    </row>
    <row r="90" ht="15.75" customHeight="1">
      <c r="C90" s="36"/>
      <c r="D90" s="24"/>
      <c r="H90" s="24"/>
    </row>
    <row r="91" ht="15.75" customHeight="1">
      <c r="C91" s="36"/>
      <c r="D91" s="24"/>
      <c r="H91" s="24"/>
    </row>
    <row r="92" ht="15.75" customHeight="1">
      <c r="C92" s="36"/>
      <c r="D92" s="24"/>
      <c r="H92" s="24"/>
    </row>
    <row r="93" ht="15.75" customHeight="1">
      <c r="C93" s="36"/>
      <c r="D93" s="24"/>
      <c r="H93" s="24"/>
    </row>
    <row r="94" ht="15.75" customHeight="1">
      <c r="C94" s="36"/>
      <c r="D94" s="24"/>
      <c r="H94" s="24"/>
    </row>
    <row r="95" ht="15.75" customHeight="1">
      <c r="C95" s="36"/>
      <c r="D95" s="24"/>
      <c r="H95" s="24"/>
    </row>
    <row r="96" ht="15.75" customHeight="1">
      <c r="C96" s="36"/>
      <c r="D96" s="24"/>
      <c r="H96" s="24"/>
    </row>
    <row r="97" ht="15.75" customHeight="1">
      <c r="C97" s="36"/>
      <c r="D97" s="24"/>
      <c r="H97" s="24"/>
    </row>
    <row r="98" ht="15.75" customHeight="1">
      <c r="C98" s="36"/>
      <c r="D98" s="24"/>
      <c r="H98" s="24"/>
    </row>
    <row r="99" ht="15.75" customHeight="1">
      <c r="C99" s="36"/>
      <c r="D99" s="24"/>
      <c r="H99" s="24"/>
    </row>
    <row r="100" ht="15.75" customHeight="1">
      <c r="C100" s="36"/>
      <c r="D100" s="24"/>
      <c r="H100" s="24"/>
    </row>
    <row r="101" ht="15.75" customHeight="1">
      <c r="C101" s="36"/>
      <c r="D101" s="24"/>
      <c r="H101" s="24"/>
    </row>
    <row r="102" ht="15.75" customHeight="1">
      <c r="C102" s="36"/>
      <c r="D102" s="24"/>
      <c r="H102" s="24"/>
    </row>
    <row r="103" ht="15.75" customHeight="1">
      <c r="C103" s="36"/>
      <c r="D103" s="24"/>
      <c r="H103" s="24"/>
    </row>
    <row r="104" ht="15.75" customHeight="1">
      <c r="C104" s="36"/>
      <c r="D104" s="24"/>
      <c r="H104" s="24"/>
    </row>
    <row r="105" ht="15.75" customHeight="1">
      <c r="C105" s="36"/>
      <c r="D105" s="24"/>
      <c r="H105" s="24"/>
    </row>
    <row r="106" ht="15.75" customHeight="1">
      <c r="C106" s="36"/>
      <c r="D106" s="24"/>
      <c r="H106" s="24"/>
    </row>
    <row r="107" ht="15.75" customHeight="1">
      <c r="C107" s="36"/>
      <c r="D107" s="24"/>
      <c r="H107" s="24"/>
    </row>
    <row r="108" ht="15.75" customHeight="1">
      <c r="C108" s="36"/>
      <c r="D108" s="24"/>
      <c r="H108" s="24"/>
    </row>
    <row r="109" ht="15.75" customHeight="1">
      <c r="C109" s="36"/>
      <c r="D109" s="24"/>
      <c r="H109" s="24"/>
    </row>
    <row r="110" ht="15.75" customHeight="1">
      <c r="C110" s="36"/>
      <c r="D110" s="24"/>
      <c r="H110" s="24"/>
    </row>
    <row r="111" ht="15.75" customHeight="1">
      <c r="C111" s="36"/>
      <c r="D111" s="24"/>
      <c r="H111" s="24"/>
    </row>
    <row r="112" ht="15.75" customHeight="1">
      <c r="C112" s="36"/>
      <c r="D112" s="24"/>
      <c r="H112" s="24"/>
    </row>
    <row r="113" ht="15.75" customHeight="1">
      <c r="C113" s="36"/>
      <c r="D113" s="24"/>
      <c r="H113" s="24"/>
    </row>
    <row r="114" ht="15.75" customHeight="1">
      <c r="C114" s="36"/>
      <c r="D114" s="24"/>
      <c r="H114" s="24"/>
    </row>
    <row r="115" ht="15.75" customHeight="1">
      <c r="C115" s="36"/>
      <c r="D115" s="24"/>
      <c r="H115" s="24"/>
    </row>
    <row r="116" ht="15.75" customHeight="1">
      <c r="C116" s="36"/>
      <c r="D116" s="24"/>
      <c r="H116" s="24"/>
    </row>
    <row r="117" ht="15.75" customHeight="1">
      <c r="C117" s="36"/>
      <c r="D117" s="24"/>
      <c r="H117" s="24"/>
    </row>
    <row r="118" ht="15.75" customHeight="1">
      <c r="C118" s="36"/>
      <c r="D118" s="24"/>
      <c r="H118" s="24"/>
    </row>
    <row r="119" ht="15.75" customHeight="1">
      <c r="C119" s="36"/>
      <c r="D119" s="24"/>
      <c r="H119" s="24"/>
    </row>
    <row r="120" ht="15.75" customHeight="1">
      <c r="C120" s="36"/>
      <c r="D120" s="24"/>
      <c r="H120" s="24"/>
    </row>
    <row r="121" ht="15.75" customHeight="1">
      <c r="C121" s="36"/>
      <c r="D121" s="24"/>
      <c r="H121" s="24"/>
    </row>
    <row r="122" ht="15.75" customHeight="1">
      <c r="C122" s="36"/>
      <c r="D122" s="24"/>
      <c r="H122" s="24"/>
    </row>
    <row r="123" ht="15.75" customHeight="1">
      <c r="C123" s="36"/>
      <c r="D123" s="24"/>
      <c r="H123" s="24"/>
    </row>
    <row r="124" ht="15.75" customHeight="1">
      <c r="C124" s="36"/>
      <c r="D124" s="24"/>
      <c r="H124" s="24"/>
    </row>
    <row r="125" ht="15.75" customHeight="1">
      <c r="C125" s="36"/>
      <c r="D125" s="24"/>
      <c r="H125" s="24"/>
    </row>
    <row r="126" ht="15.75" customHeight="1">
      <c r="C126" s="36"/>
      <c r="D126" s="24"/>
      <c r="H126" s="24"/>
    </row>
    <row r="127" ht="15.75" customHeight="1">
      <c r="C127" s="36"/>
      <c r="D127" s="24"/>
      <c r="H127" s="24"/>
    </row>
    <row r="128" ht="15.75" customHeight="1">
      <c r="C128" s="36"/>
      <c r="D128" s="24"/>
      <c r="H128" s="24"/>
    </row>
    <row r="129" ht="15.75" customHeight="1">
      <c r="C129" s="36"/>
      <c r="D129" s="24"/>
      <c r="H129" s="24"/>
    </row>
    <row r="130" ht="15.75" customHeight="1">
      <c r="C130" s="36"/>
      <c r="D130" s="24"/>
      <c r="H130" s="24"/>
    </row>
    <row r="131" ht="15.75" customHeight="1">
      <c r="C131" s="36"/>
      <c r="D131" s="24"/>
      <c r="H131" s="24"/>
    </row>
    <row r="132" ht="15.75" customHeight="1">
      <c r="C132" s="36"/>
      <c r="D132" s="24"/>
      <c r="H132" s="24"/>
    </row>
    <row r="133" ht="15.75" customHeight="1">
      <c r="C133" s="36"/>
      <c r="D133" s="24"/>
      <c r="H133" s="24"/>
    </row>
    <row r="134" ht="15.75" customHeight="1">
      <c r="C134" s="36"/>
      <c r="D134" s="24"/>
      <c r="H134" s="24"/>
    </row>
    <row r="135" ht="15.75" customHeight="1">
      <c r="C135" s="36"/>
      <c r="D135" s="24"/>
      <c r="H135" s="24"/>
    </row>
    <row r="136" ht="15.75" customHeight="1">
      <c r="C136" s="36"/>
      <c r="D136" s="24"/>
      <c r="H136" s="24"/>
    </row>
    <row r="137" ht="15.75" customHeight="1">
      <c r="C137" s="36"/>
      <c r="D137" s="24"/>
      <c r="H137" s="24"/>
    </row>
    <row r="138" ht="15.75" customHeight="1">
      <c r="C138" s="36"/>
      <c r="D138" s="24"/>
      <c r="H138" s="24"/>
    </row>
    <row r="139" ht="15.75" customHeight="1">
      <c r="C139" s="36"/>
      <c r="D139" s="24"/>
      <c r="H139" s="24"/>
    </row>
    <row r="140" ht="15.75" customHeight="1">
      <c r="C140" s="36"/>
      <c r="D140" s="24"/>
      <c r="H140" s="24"/>
    </row>
    <row r="141" ht="15.75" customHeight="1">
      <c r="C141" s="36"/>
      <c r="D141" s="24"/>
      <c r="H141" s="24"/>
    </row>
    <row r="142" ht="15.75" customHeight="1">
      <c r="C142" s="36"/>
      <c r="D142" s="24"/>
      <c r="H142" s="24"/>
    </row>
    <row r="143" ht="15.75" customHeight="1">
      <c r="C143" s="36"/>
      <c r="D143" s="24"/>
      <c r="H143" s="24"/>
    </row>
    <row r="144" ht="15.75" customHeight="1">
      <c r="C144" s="36"/>
      <c r="D144" s="24"/>
      <c r="H144" s="24"/>
    </row>
    <row r="145" ht="15.75" customHeight="1">
      <c r="C145" s="36"/>
      <c r="D145" s="24"/>
      <c r="H145" s="24"/>
    </row>
    <row r="146" ht="15.75" customHeight="1">
      <c r="C146" s="36"/>
      <c r="D146" s="24"/>
      <c r="H146" s="24"/>
    </row>
    <row r="147" ht="15.75" customHeight="1">
      <c r="C147" s="36"/>
      <c r="D147" s="24"/>
      <c r="H147" s="24"/>
    </row>
    <row r="148" ht="15.75" customHeight="1">
      <c r="C148" s="36"/>
      <c r="D148" s="24"/>
      <c r="H148" s="24"/>
    </row>
    <row r="149" ht="15.75" customHeight="1">
      <c r="C149" s="36"/>
      <c r="D149" s="24"/>
      <c r="H149" s="24"/>
    </row>
    <row r="150" ht="15.75" customHeight="1">
      <c r="C150" s="36"/>
      <c r="D150" s="24"/>
      <c r="H150" s="24"/>
    </row>
    <row r="151" ht="15.75" customHeight="1">
      <c r="C151" s="36"/>
      <c r="D151" s="24"/>
      <c r="H151" s="24"/>
    </row>
    <row r="152" ht="15.75" customHeight="1">
      <c r="C152" s="36"/>
      <c r="D152" s="24"/>
      <c r="H152" s="24"/>
    </row>
    <row r="153" ht="15.75" customHeight="1">
      <c r="C153" s="36"/>
      <c r="D153" s="24"/>
      <c r="H153" s="24"/>
    </row>
    <row r="154" ht="15.75" customHeight="1">
      <c r="C154" s="36"/>
      <c r="D154" s="24"/>
      <c r="H154" s="24"/>
    </row>
    <row r="155" ht="15.75" customHeight="1">
      <c r="C155" s="36"/>
      <c r="D155" s="24"/>
      <c r="H155" s="24"/>
    </row>
    <row r="156" ht="15.75" customHeight="1">
      <c r="C156" s="36"/>
      <c r="D156" s="24"/>
      <c r="H156" s="24"/>
    </row>
    <row r="157" ht="15.75" customHeight="1">
      <c r="C157" s="36"/>
      <c r="D157" s="24"/>
      <c r="H157" s="24"/>
    </row>
    <row r="158" ht="15.75" customHeight="1">
      <c r="C158" s="36"/>
      <c r="D158" s="24"/>
      <c r="H158" s="24"/>
    </row>
    <row r="159" ht="15.75" customHeight="1">
      <c r="C159" s="36"/>
      <c r="D159" s="24"/>
      <c r="H159" s="24"/>
    </row>
    <row r="160" ht="15.75" customHeight="1">
      <c r="C160" s="36"/>
      <c r="D160" s="24"/>
      <c r="H160" s="24"/>
    </row>
    <row r="161" ht="15.75" customHeight="1">
      <c r="C161" s="36"/>
      <c r="D161" s="24"/>
      <c r="H161" s="24"/>
    </row>
    <row r="162" ht="15.75" customHeight="1">
      <c r="C162" s="36"/>
      <c r="D162" s="24"/>
      <c r="H162" s="24"/>
    </row>
    <row r="163" ht="15.75" customHeight="1">
      <c r="C163" s="36"/>
      <c r="D163" s="24"/>
      <c r="H163" s="24"/>
    </row>
    <row r="164" ht="15.75" customHeight="1">
      <c r="C164" s="36"/>
      <c r="D164" s="24"/>
      <c r="H164" s="24"/>
    </row>
    <row r="165" ht="15.75" customHeight="1">
      <c r="C165" s="36"/>
      <c r="D165" s="24"/>
      <c r="H165" s="24"/>
    </row>
    <row r="166" ht="15.75" customHeight="1">
      <c r="C166" s="36"/>
      <c r="D166" s="24"/>
      <c r="H166" s="24"/>
    </row>
    <row r="167" ht="15.75" customHeight="1">
      <c r="C167" s="36"/>
      <c r="D167" s="24"/>
      <c r="H167" s="24"/>
    </row>
    <row r="168" ht="15.75" customHeight="1">
      <c r="C168" s="36"/>
      <c r="D168" s="24"/>
      <c r="H168" s="24"/>
    </row>
    <row r="169" ht="15.75" customHeight="1">
      <c r="C169" s="36"/>
      <c r="D169" s="24"/>
      <c r="H169" s="24"/>
    </row>
    <row r="170" ht="15.75" customHeight="1">
      <c r="C170" s="36"/>
      <c r="D170" s="24"/>
      <c r="H170" s="24"/>
    </row>
    <row r="171" ht="15.75" customHeight="1">
      <c r="C171" s="36"/>
      <c r="D171" s="24"/>
      <c r="H171" s="24"/>
    </row>
    <row r="172" ht="15.75" customHeight="1">
      <c r="C172" s="36"/>
      <c r="D172" s="24"/>
      <c r="H172" s="24"/>
    </row>
    <row r="173" ht="15.75" customHeight="1">
      <c r="C173" s="36"/>
      <c r="D173" s="24"/>
      <c r="H173" s="24"/>
    </row>
    <row r="174" ht="15.75" customHeight="1">
      <c r="C174" s="36"/>
      <c r="D174" s="24"/>
      <c r="H174" s="24"/>
    </row>
    <row r="175" ht="15.75" customHeight="1">
      <c r="C175" s="36"/>
      <c r="D175" s="24"/>
      <c r="H175" s="24"/>
    </row>
    <row r="176" ht="15.75" customHeight="1">
      <c r="C176" s="36"/>
      <c r="D176" s="24"/>
      <c r="H176" s="24"/>
    </row>
    <row r="177" ht="15.75" customHeight="1">
      <c r="C177" s="36"/>
      <c r="D177" s="24"/>
      <c r="H177" s="24"/>
    </row>
    <row r="178" ht="15.75" customHeight="1">
      <c r="C178" s="36"/>
      <c r="D178" s="24"/>
      <c r="H178" s="24"/>
    </row>
    <row r="179" ht="15.75" customHeight="1">
      <c r="C179" s="36"/>
      <c r="D179" s="24"/>
      <c r="H179" s="24"/>
    </row>
    <row r="180" ht="15.75" customHeight="1">
      <c r="C180" s="36"/>
      <c r="D180" s="24"/>
      <c r="H180" s="24"/>
    </row>
    <row r="181" ht="15.75" customHeight="1">
      <c r="C181" s="36"/>
      <c r="D181" s="24"/>
      <c r="H181" s="24"/>
    </row>
    <row r="182" ht="15.75" customHeight="1">
      <c r="C182" s="36"/>
      <c r="D182" s="24"/>
      <c r="H182" s="24"/>
    </row>
    <row r="183" ht="15.75" customHeight="1">
      <c r="C183" s="36"/>
      <c r="D183" s="24"/>
      <c r="H183" s="24"/>
    </row>
    <row r="184" ht="15.75" customHeight="1">
      <c r="C184" s="36"/>
      <c r="D184" s="24"/>
      <c r="H184" s="24"/>
    </row>
    <row r="185" ht="15.75" customHeight="1">
      <c r="C185" s="36"/>
      <c r="D185" s="24"/>
      <c r="H185" s="24"/>
    </row>
    <row r="186" ht="15.75" customHeight="1">
      <c r="C186" s="36"/>
      <c r="D186" s="24"/>
      <c r="H186" s="24"/>
    </row>
    <row r="187" ht="15.75" customHeight="1">
      <c r="C187" s="36"/>
      <c r="D187" s="24"/>
      <c r="H187" s="24"/>
    </row>
    <row r="188" ht="15.75" customHeight="1">
      <c r="C188" s="36"/>
      <c r="D188" s="24"/>
      <c r="H188" s="24"/>
    </row>
    <row r="189" ht="15.75" customHeight="1">
      <c r="C189" s="36"/>
      <c r="D189" s="24"/>
      <c r="H189" s="24"/>
    </row>
    <row r="190" ht="15.75" customHeight="1">
      <c r="C190" s="36"/>
      <c r="D190" s="24"/>
      <c r="H190" s="24"/>
    </row>
    <row r="191" ht="15.75" customHeight="1">
      <c r="C191" s="36"/>
      <c r="D191" s="24"/>
      <c r="H191" s="24"/>
    </row>
    <row r="192" ht="15.75" customHeight="1">
      <c r="C192" s="36"/>
      <c r="D192" s="24"/>
      <c r="H192" s="24"/>
    </row>
    <row r="193" ht="15.75" customHeight="1">
      <c r="C193" s="36"/>
      <c r="D193" s="24"/>
      <c r="H193" s="24"/>
    </row>
    <row r="194" ht="15.75" customHeight="1">
      <c r="C194" s="36"/>
      <c r="D194" s="24"/>
      <c r="H194" s="24"/>
    </row>
    <row r="195" ht="15.75" customHeight="1">
      <c r="C195" s="36"/>
      <c r="D195" s="24"/>
      <c r="H195" s="24"/>
    </row>
    <row r="196" ht="15.75" customHeight="1">
      <c r="C196" s="36"/>
      <c r="D196" s="24"/>
      <c r="H196" s="24"/>
    </row>
    <row r="197" ht="15.75" customHeight="1">
      <c r="C197" s="36"/>
      <c r="D197" s="24"/>
      <c r="H197" s="24"/>
    </row>
    <row r="198" ht="15.75" customHeight="1">
      <c r="C198" s="36"/>
      <c r="D198" s="24"/>
      <c r="H198" s="24"/>
    </row>
    <row r="199" ht="15.75" customHeight="1">
      <c r="C199" s="36"/>
      <c r="D199" s="24"/>
      <c r="H199" s="24"/>
    </row>
    <row r="200" ht="15.75" customHeight="1">
      <c r="C200" s="36"/>
      <c r="D200" s="24"/>
      <c r="H200" s="24"/>
    </row>
    <row r="201" ht="15.75" customHeight="1">
      <c r="C201" s="36"/>
      <c r="D201" s="24"/>
      <c r="H201" s="24"/>
    </row>
    <row r="202" ht="15.75" customHeight="1">
      <c r="C202" s="36"/>
      <c r="D202" s="24"/>
      <c r="H202" s="24"/>
    </row>
    <row r="203" ht="15.75" customHeight="1">
      <c r="C203" s="36"/>
      <c r="D203" s="24"/>
      <c r="H203" s="24"/>
    </row>
    <row r="204" ht="15.75" customHeight="1">
      <c r="C204" s="36"/>
      <c r="D204" s="24"/>
      <c r="H204" s="24"/>
    </row>
    <row r="205" ht="15.75" customHeight="1">
      <c r="C205" s="36"/>
      <c r="D205" s="24"/>
      <c r="H205" s="24"/>
    </row>
    <row r="206" ht="15.75" customHeight="1">
      <c r="C206" s="36"/>
      <c r="D206" s="24"/>
      <c r="H206" s="24"/>
    </row>
    <row r="207" ht="15.75" customHeight="1">
      <c r="C207" s="36"/>
      <c r="D207" s="24"/>
      <c r="H207" s="24"/>
    </row>
    <row r="208" ht="15.75" customHeight="1">
      <c r="C208" s="36"/>
      <c r="D208" s="24"/>
      <c r="H208" s="24"/>
    </row>
    <row r="209" ht="15.75" customHeight="1">
      <c r="C209" s="36"/>
      <c r="D209" s="24"/>
      <c r="H209" s="24"/>
    </row>
    <row r="210" ht="15.75" customHeight="1">
      <c r="C210" s="36"/>
      <c r="D210" s="24"/>
      <c r="H210" s="24"/>
    </row>
    <row r="211" ht="15.75" customHeight="1">
      <c r="C211" s="36"/>
      <c r="D211" s="24"/>
      <c r="H211" s="24"/>
    </row>
    <row r="212" ht="15.75" customHeight="1">
      <c r="C212" s="36"/>
      <c r="D212" s="24"/>
      <c r="H212" s="24"/>
    </row>
    <row r="213" ht="15.75" customHeight="1">
      <c r="C213" s="36"/>
      <c r="D213" s="24"/>
      <c r="H213" s="24"/>
    </row>
    <row r="214" ht="15.75" customHeight="1">
      <c r="C214" s="36"/>
      <c r="D214" s="24"/>
      <c r="H214" s="24"/>
    </row>
    <row r="215" ht="15.75" customHeight="1">
      <c r="C215" s="36"/>
      <c r="D215" s="24"/>
      <c r="H215" s="24"/>
    </row>
    <row r="216" ht="15.75" customHeight="1">
      <c r="C216" s="36"/>
      <c r="D216" s="24"/>
      <c r="H216" s="24"/>
    </row>
    <row r="217" ht="15.75" customHeight="1">
      <c r="C217" s="36"/>
      <c r="D217" s="24"/>
      <c r="H217" s="24"/>
    </row>
    <row r="218" ht="15.75" customHeight="1">
      <c r="C218" s="36"/>
      <c r="D218" s="24"/>
      <c r="H218" s="24"/>
    </row>
    <row r="219" ht="15.75" customHeight="1">
      <c r="C219" s="36"/>
      <c r="D219" s="24"/>
      <c r="H219" s="24"/>
    </row>
    <row r="220" ht="15.75" customHeight="1">
      <c r="C220" s="36"/>
      <c r="D220" s="24"/>
      <c r="H220" s="24"/>
    </row>
    <row r="221" ht="15.75" customHeight="1">
      <c r="C221" s="36"/>
      <c r="D221" s="24"/>
      <c r="H221" s="24"/>
    </row>
    <row r="222" ht="15.75" customHeight="1">
      <c r="C222" s="36"/>
      <c r="D222" s="24"/>
      <c r="H222" s="24"/>
    </row>
    <row r="223" ht="15.75" customHeight="1">
      <c r="C223" s="36"/>
      <c r="D223" s="24"/>
      <c r="H223" s="24"/>
    </row>
    <row r="224" ht="15.75" customHeight="1">
      <c r="C224" s="36"/>
      <c r="D224" s="24"/>
      <c r="H224" s="24"/>
    </row>
    <row r="225" ht="15.75" customHeight="1">
      <c r="C225" s="36"/>
      <c r="D225" s="24"/>
      <c r="H225" s="24"/>
    </row>
    <row r="226" ht="15.75" customHeight="1">
      <c r="C226" s="36"/>
      <c r="D226" s="24"/>
      <c r="H226" s="24"/>
    </row>
    <row r="227" ht="15.75" customHeight="1">
      <c r="C227" s="36"/>
      <c r="D227" s="24"/>
      <c r="H227" s="24"/>
    </row>
    <row r="228" ht="15.75" customHeight="1">
      <c r="C228" s="36"/>
      <c r="D228" s="24"/>
      <c r="H228" s="24"/>
    </row>
    <row r="229" ht="15.75" customHeight="1">
      <c r="C229" s="36"/>
      <c r="D229" s="24"/>
      <c r="H229" s="24"/>
    </row>
    <row r="230" ht="15.75" customHeight="1">
      <c r="C230" s="36"/>
      <c r="D230" s="24"/>
      <c r="H230" s="24"/>
    </row>
    <row r="231" ht="15.75" customHeight="1">
      <c r="C231" s="36"/>
      <c r="D231" s="24"/>
      <c r="H231" s="24"/>
    </row>
    <row r="232" ht="15.75" customHeight="1">
      <c r="C232" s="36"/>
      <c r="D232" s="24"/>
      <c r="H232" s="24"/>
    </row>
    <row r="233" ht="15.75" customHeight="1">
      <c r="C233" s="36"/>
      <c r="D233" s="24"/>
      <c r="H233" s="24"/>
    </row>
    <row r="234" ht="15.75" customHeight="1">
      <c r="C234" s="36"/>
      <c r="D234" s="24"/>
      <c r="H234" s="24"/>
    </row>
    <row r="235" ht="15.75" customHeight="1">
      <c r="C235" s="36"/>
      <c r="D235" s="24"/>
      <c r="H235" s="24"/>
    </row>
    <row r="236" ht="15.75" customHeight="1">
      <c r="C236" s="36"/>
      <c r="D236" s="24"/>
      <c r="H236" s="24"/>
    </row>
    <row r="237" ht="15.75" customHeight="1">
      <c r="C237" s="36"/>
      <c r="D237" s="24"/>
      <c r="H237" s="24"/>
    </row>
    <row r="238" ht="15.75" customHeight="1">
      <c r="C238" s="36"/>
      <c r="D238" s="24"/>
      <c r="H238" s="24"/>
    </row>
    <row r="239" ht="15.75" customHeight="1">
      <c r="C239" s="36"/>
      <c r="D239" s="24"/>
      <c r="H239" s="24"/>
    </row>
    <row r="240" ht="15.75" customHeight="1">
      <c r="C240" s="36"/>
      <c r="D240" s="24"/>
      <c r="H240" s="24"/>
    </row>
    <row r="241" ht="15.75" customHeight="1">
      <c r="C241" s="36"/>
      <c r="D241" s="24"/>
      <c r="H241" s="24"/>
    </row>
    <row r="242" ht="15.75" customHeight="1">
      <c r="C242" s="36"/>
      <c r="D242" s="24"/>
      <c r="H242" s="24"/>
    </row>
    <row r="243" ht="15.75" customHeight="1">
      <c r="C243" s="36"/>
      <c r="D243" s="24"/>
      <c r="H243" s="24"/>
    </row>
    <row r="244" ht="15.75" customHeight="1">
      <c r="C244" s="36"/>
      <c r="D244" s="24"/>
      <c r="H244" s="24"/>
    </row>
    <row r="245" ht="15.75" customHeight="1">
      <c r="C245" s="36"/>
      <c r="D245" s="24"/>
      <c r="H245" s="24"/>
    </row>
    <row r="246" ht="15.75" customHeight="1">
      <c r="C246" s="36"/>
      <c r="D246" s="24"/>
      <c r="H246" s="24"/>
    </row>
    <row r="247" ht="15.75" customHeight="1">
      <c r="C247" s="36"/>
      <c r="D247" s="24"/>
      <c r="H247" s="24"/>
    </row>
    <row r="248" ht="15.75" customHeight="1">
      <c r="C248" s="36"/>
      <c r="D248" s="24"/>
      <c r="H248" s="24"/>
    </row>
    <row r="249" ht="15.75" customHeight="1">
      <c r="C249" s="36"/>
      <c r="D249" s="24"/>
      <c r="H249" s="24"/>
    </row>
    <row r="250" ht="15.75" customHeight="1">
      <c r="C250" s="36"/>
      <c r="D250" s="24"/>
      <c r="H250" s="24"/>
    </row>
    <row r="251" ht="15.75" customHeight="1">
      <c r="C251" s="36"/>
      <c r="D251" s="24"/>
      <c r="H251" s="24"/>
    </row>
    <row r="252" ht="15.75" customHeight="1">
      <c r="C252" s="36"/>
      <c r="D252" s="24"/>
      <c r="H252" s="24"/>
    </row>
    <row r="253" ht="15.75" customHeight="1">
      <c r="C253" s="36"/>
      <c r="D253" s="24"/>
      <c r="H253" s="24"/>
    </row>
    <row r="254" ht="15.75" customHeight="1">
      <c r="C254" s="36"/>
      <c r="D254" s="24"/>
      <c r="H254" s="24"/>
    </row>
    <row r="255" ht="15.75" customHeight="1">
      <c r="C255" s="36"/>
      <c r="D255" s="24"/>
      <c r="H255" s="24"/>
    </row>
    <row r="256" ht="15.75" customHeight="1">
      <c r="C256" s="36"/>
      <c r="D256" s="24"/>
      <c r="H256" s="24"/>
    </row>
    <row r="257" ht="15.75" customHeight="1">
      <c r="C257" s="36"/>
      <c r="D257" s="24"/>
      <c r="H257" s="24"/>
    </row>
    <row r="258" ht="15.75" customHeight="1">
      <c r="C258" s="36"/>
      <c r="D258" s="24"/>
      <c r="H258" s="24"/>
    </row>
    <row r="259" ht="15.75" customHeight="1">
      <c r="C259" s="36"/>
      <c r="D259" s="24"/>
      <c r="H259" s="24"/>
    </row>
    <row r="260" ht="15.75" customHeight="1">
      <c r="C260" s="36"/>
      <c r="D260" s="24"/>
      <c r="H260" s="24"/>
    </row>
    <row r="261" ht="15.75" customHeight="1">
      <c r="C261" s="36"/>
      <c r="D261" s="24"/>
      <c r="H261" s="24"/>
    </row>
    <row r="262" ht="15.75" customHeight="1">
      <c r="C262" s="36"/>
      <c r="D262" s="24"/>
      <c r="H262" s="24"/>
    </row>
    <row r="263" ht="15.75" customHeight="1">
      <c r="C263" s="36"/>
      <c r="D263" s="24"/>
      <c r="H263" s="24"/>
    </row>
    <row r="264" ht="15.75" customHeight="1">
      <c r="C264" s="36"/>
      <c r="D264" s="24"/>
      <c r="H264" s="24"/>
    </row>
    <row r="265" ht="15.75" customHeight="1">
      <c r="C265" s="36"/>
      <c r="D265" s="24"/>
      <c r="H265" s="24"/>
    </row>
    <row r="266" ht="15.75" customHeight="1">
      <c r="C266" s="36"/>
      <c r="D266" s="24"/>
      <c r="H266" s="24"/>
    </row>
    <row r="267" ht="15.75" customHeight="1">
      <c r="C267" s="36"/>
      <c r="D267" s="24"/>
      <c r="H267" s="24"/>
    </row>
    <row r="268" ht="15.75" customHeight="1">
      <c r="C268" s="36"/>
      <c r="D268" s="24"/>
      <c r="H268" s="24"/>
    </row>
    <row r="269" ht="15.75" customHeight="1">
      <c r="C269" s="36"/>
      <c r="D269" s="24"/>
      <c r="H269" s="24"/>
    </row>
    <row r="270" ht="15.75" customHeight="1">
      <c r="C270" s="36"/>
      <c r="D270" s="24"/>
      <c r="H270" s="24"/>
    </row>
    <row r="271" ht="15.75" customHeight="1">
      <c r="C271" s="36"/>
      <c r="D271" s="24"/>
      <c r="H271" s="24"/>
    </row>
    <row r="272" ht="15.75" customHeight="1">
      <c r="C272" s="36"/>
      <c r="D272" s="24"/>
      <c r="H272" s="24"/>
    </row>
    <row r="273" ht="15.75" customHeight="1">
      <c r="C273" s="36"/>
      <c r="D273" s="24"/>
      <c r="H273" s="24"/>
    </row>
    <row r="274" ht="15.75" customHeight="1">
      <c r="C274" s="36"/>
      <c r="D274" s="24"/>
      <c r="H274" s="24"/>
    </row>
    <row r="275" ht="15.75" customHeight="1">
      <c r="C275" s="36"/>
      <c r="D275" s="24"/>
      <c r="H275" s="24"/>
    </row>
    <row r="276" ht="15.75" customHeight="1">
      <c r="C276" s="36"/>
      <c r="D276" s="24"/>
      <c r="H276" s="24"/>
    </row>
    <row r="277" ht="15.75" customHeight="1">
      <c r="C277" s="36"/>
      <c r="D277" s="24"/>
      <c r="H277" s="24"/>
    </row>
    <row r="278" ht="15.75" customHeight="1">
      <c r="C278" s="36"/>
      <c r="D278" s="24"/>
      <c r="H278" s="24"/>
    </row>
    <row r="279" ht="15.75" customHeight="1">
      <c r="C279" s="36"/>
      <c r="D279" s="24"/>
      <c r="H279" s="24"/>
    </row>
    <row r="280" ht="15.75" customHeight="1">
      <c r="C280" s="36"/>
      <c r="D280" s="24"/>
      <c r="H280" s="24"/>
    </row>
    <row r="281" ht="15.75" customHeight="1">
      <c r="C281" s="36"/>
      <c r="D281" s="24"/>
      <c r="H281" s="24"/>
    </row>
    <row r="282" ht="15.75" customHeight="1">
      <c r="C282" s="36"/>
      <c r="D282" s="24"/>
      <c r="H282" s="24"/>
    </row>
    <row r="283" ht="15.75" customHeight="1">
      <c r="C283" s="36"/>
      <c r="D283" s="24"/>
      <c r="H283" s="24"/>
    </row>
    <row r="284" ht="15.75" customHeight="1">
      <c r="C284" s="36"/>
      <c r="D284" s="24"/>
      <c r="H284" s="24"/>
    </row>
    <row r="285" ht="15.75" customHeight="1">
      <c r="C285" s="36"/>
      <c r="D285" s="24"/>
      <c r="H285" s="24"/>
    </row>
    <row r="286" ht="15.75" customHeight="1">
      <c r="C286" s="36"/>
      <c r="D286" s="24"/>
      <c r="H286" s="24"/>
    </row>
    <row r="287" ht="15.75" customHeight="1">
      <c r="C287" s="36"/>
      <c r="D287" s="24"/>
      <c r="H287" s="24"/>
    </row>
    <row r="288" ht="15.75" customHeight="1">
      <c r="C288" s="36"/>
      <c r="D288" s="24"/>
      <c r="H288" s="24"/>
    </row>
    <row r="289" ht="15.75" customHeight="1">
      <c r="C289" s="36"/>
      <c r="D289" s="24"/>
      <c r="H289" s="24"/>
    </row>
    <row r="290" ht="15.75" customHeight="1">
      <c r="C290" s="36"/>
      <c r="D290" s="24"/>
      <c r="H290" s="24"/>
    </row>
    <row r="291" ht="15.75" customHeight="1">
      <c r="C291" s="36"/>
      <c r="D291" s="24"/>
      <c r="H291" s="24"/>
    </row>
    <row r="292" ht="15.75" customHeight="1">
      <c r="C292" s="36"/>
      <c r="D292" s="24"/>
      <c r="H292" s="24"/>
    </row>
    <row r="293" ht="15.75" customHeight="1">
      <c r="C293" s="36"/>
      <c r="D293" s="24"/>
      <c r="H293" s="24"/>
    </row>
    <row r="294" ht="15.75" customHeight="1">
      <c r="C294" s="36"/>
      <c r="D294" s="24"/>
      <c r="H294" s="24"/>
    </row>
    <row r="295" ht="15.75" customHeight="1">
      <c r="C295" s="36"/>
      <c r="D295" s="24"/>
      <c r="H295" s="24"/>
    </row>
    <row r="296" ht="15.75" customHeight="1">
      <c r="C296" s="36"/>
      <c r="D296" s="24"/>
      <c r="H296" s="24"/>
    </row>
    <row r="297" ht="15.75" customHeight="1">
      <c r="C297" s="36"/>
      <c r="D297" s="24"/>
      <c r="H297" s="24"/>
    </row>
    <row r="298" ht="15.75" customHeight="1">
      <c r="C298" s="36"/>
      <c r="D298" s="24"/>
      <c r="H298" s="24"/>
    </row>
    <row r="299" ht="15.75" customHeight="1">
      <c r="C299" s="36"/>
      <c r="D299" s="24"/>
      <c r="H299" s="24"/>
    </row>
    <row r="300" ht="15.75" customHeight="1">
      <c r="C300" s="36"/>
      <c r="D300" s="24"/>
      <c r="H300" s="24"/>
    </row>
    <row r="301" ht="15.75" customHeight="1">
      <c r="C301" s="36"/>
      <c r="D301" s="24"/>
      <c r="H301" s="24"/>
    </row>
    <row r="302" ht="15.75" customHeight="1">
      <c r="C302" s="36"/>
      <c r="D302" s="24"/>
      <c r="H302" s="24"/>
    </row>
    <row r="303" ht="15.75" customHeight="1">
      <c r="C303" s="36"/>
      <c r="D303" s="24"/>
      <c r="H303" s="24"/>
    </row>
    <row r="304" ht="15.75" customHeight="1">
      <c r="C304" s="36"/>
      <c r="D304" s="24"/>
      <c r="H304" s="24"/>
    </row>
    <row r="305" ht="15.75" customHeight="1">
      <c r="C305" s="36"/>
      <c r="D305" s="24"/>
      <c r="H305" s="24"/>
    </row>
    <row r="306" ht="15.75" customHeight="1">
      <c r="C306" s="36"/>
      <c r="D306" s="24"/>
      <c r="H306" s="24"/>
    </row>
    <row r="307" ht="15.75" customHeight="1">
      <c r="C307" s="36"/>
      <c r="D307" s="24"/>
      <c r="H307" s="24"/>
    </row>
    <row r="308" ht="15.75" customHeight="1">
      <c r="C308" s="36"/>
      <c r="D308" s="24"/>
      <c r="H308" s="24"/>
    </row>
    <row r="309" ht="15.75" customHeight="1">
      <c r="C309" s="36"/>
      <c r="D309" s="24"/>
      <c r="H309" s="24"/>
    </row>
    <row r="310" ht="15.75" customHeight="1">
      <c r="C310" s="36"/>
      <c r="D310" s="24"/>
      <c r="H310" s="24"/>
    </row>
    <row r="311" ht="15.75" customHeight="1">
      <c r="C311" s="36"/>
      <c r="D311" s="24"/>
      <c r="H311" s="24"/>
    </row>
    <row r="312" ht="15.75" customHeight="1">
      <c r="C312" s="36"/>
      <c r="D312" s="24"/>
      <c r="H312" s="24"/>
    </row>
    <row r="313" ht="15.75" customHeight="1">
      <c r="C313" s="36"/>
      <c r="D313" s="24"/>
      <c r="H313" s="24"/>
    </row>
    <row r="314" ht="15.75" customHeight="1">
      <c r="C314" s="36"/>
      <c r="D314" s="24"/>
      <c r="H314" s="24"/>
    </row>
    <row r="315" ht="15.75" customHeight="1">
      <c r="C315" s="36"/>
      <c r="D315" s="24"/>
      <c r="H315" s="24"/>
    </row>
    <row r="316" ht="15.75" customHeight="1">
      <c r="C316" s="36"/>
      <c r="D316" s="24"/>
      <c r="H316" s="24"/>
    </row>
    <row r="317" ht="15.75" customHeight="1">
      <c r="C317" s="36"/>
      <c r="D317" s="24"/>
      <c r="H317" s="24"/>
    </row>
    <row r="318" ht="15.75" customHeight="1">
      <c r="C318" s="36"/>
      <c r="D318" s="24"/>
      <c r="H318" s="24"/>
    </row>
    <row r="319" ht="15.75" customHeight="1">
      <c r="C319" s="36"/>
      <c r="D319" s="24"/>
      <c r="H319" s="24"/>
    </row>
    <row r="320" ht="15.75" customHeight="1">
      <c r="C320" s="36"/>
      <c r="D320" s="24"/>
      <c r="H320" s="24"/>
    </row>
    <row r="321" ht="15.75" customHeight="1">
      <c r="C321" s="36"/>
      <c r="D321" s="24"/>
      <c r="H321" s="24"/>
    </row>
    <row r="322" ht="15.75" customHeight="1">
      <c r="C322" s="36"/>
      <c r="D322" s="24"/>
      <c r="H322" s="24"/>
    </row>
    <row r="323" ht="15.75" customHeight="1">
      <c r="C323" s="36"/>
      <c r="D323" s="24"/>
      <c r="H323" s="24"/>
    </row>
    <row r="324" ht="15.75" customHeight="1">
      <c r="C324" s="36"/>
      <c r="D324" s="24"/>
      <c r="H324" s="24"/>
    </row>
    <row r="325" ht="15.75" customHeight="1">
      <c r="C325" s="36"/>
      <c r="D325" s="24"/>
      <c r="H325" s="24"/>
    </row>
    <row r="326" ht="15.75" customHeight="1">
      <c r="C326" s="36"/>
      <c r="D326" s="24"/>
      <c r="H326" s="24"/>
    </row>
    <row r="327" ht="15.75" customHeight="1">
      <c r="C327" s="36"/>
      <c r="D327" s="24"/>
      <c r="H327" s="24"/>
    </row>
    <row r="328" ht="15.75" customHeight="1">
      <c r="C328" s="36"/>
      <c r="D328" s="24"/>
      <c r="H328" s="24"/>
    </row>
    <row r="329" ht="15.75" customHeight="1">
      <c r="C329" s="36"/>
      <c r="D329" s="24"/>
      <c r="H329" s="24"/>
    </row>
    <row r="330" ht="15.75" customHeight="1">
      <c r="C330" s="36"/>
      <c r="D330" s="24"/>
      <c r="H330" s="24"/>
    </row>
    <row r="331" ht="15.75" customHeight="1">
      <c r="C331" s="36"/>
      <c r="D331" s="24"/>
      <c r="H331" s="24"/>
    </row>
    <row r="332" ht="15.75" customHeight="1">
      <c r="C332" s="36"/>
      <c r="D332" s="24"/>
      <c r="H332" s="24"/>
    </row>
    <row r="333" ht="15.75" customHeight="1">
      <c r="C333" s="36"/>
      <c r="D333" s="24"/>
      <c r="H333" s="24"/>
    </row>
    <row r="334" ht="15.75" customHeight="1">
      <c r="C334" s="36"/>
      <c r="D334" s="24"/>
      <c r="H334" s="24"/>
    </row>
    <row r="335" ht="15.75" customHeight="1">
      <c r="C335" s="36"/>
      <c r="D335" s="24"/>
      <c r="H335" s="24"/>
    </row>
    <row r="336" ht="15.75" customHeight="1">
      <c r="C336" s="36"/>
      <c r="D336" s="24"/>
      <c r="H336" s="24"/>
    </row>
    <row r="337" ht="15.75" customHeight="1">
      <c r="C337" s="36"/>
      <c r="D337" s="24"/>
      <c r="H337" s="24"/>
    </row>
    <row r="338" ht="15.75" customHeight="1">
      <c r="C338" s="36"/>
      <c r="D338" s="24"/>
      <c r="H338" s="24"/>
    </row>
    <row r="339" ht="15.75" customHeight="1">
      <c r="C339" s="36"/>
      <c r="D339" s="24"/>
      <c r="H339" s="24"/>
    </row>
    <row r="340" ht="15.75" customHeight="1">
      <c r="C340" s="36"/>
      <c r="D340" s="24"/>
      <c r="H340" s="24"/>
    </row>
    <row r="341" ht="15.75" customHeight="1">
      <c r="C341" s="36"/>
      <c r="D341" s="24"/>
      <c r="H341" s="24"/>
    </row>
    <row r="342" ht="15.75" customHeight="1">
      <c r="C342" s="36"/>
      <c r="D342" s="24"/>
      <c r="H342" s="24"/>
    </row>
    <row r="343" ht="15.75" customHeight="1">
      <c r="C343" s="36"/>
      <c r="D343" s="24"/>
      <c r="H343" s="24"/>
    </row>
    <row r="344" ht="15.75" customHeight="1">
      <c r="C344" s="36"/>
      <c r="D344" s="24"/>
      <c r="H344" s="24"/>
    </row>
    <row r="345" ht="15.75" customHeight="1">
      <c r="C345" s="36"/>
      <c r="D345" s="24"/>
      <c r="H345" s="24"/>
    </row>
    <row r="346" ht="15.75" customHeight="1">
      <c r="C346" s="36"/>
      <c r="D346" s="24"/>
      <c r="H346" s="24"/>
    </row>
    <row r="347" ht="15.75" customHeight="1">
      <c r="C347" s="36"/>
      <c r="D347" s="24"/>
      <c r="H347" s="24"/>
    </row>
    <row r="348" ht="15.75" customHeight="1">
      <c r="C348" s="36"/>
      <c r="D348" s="24"/>
      <c r="H348" s="24"/>
    </row>
    <row r="349" ht="15.75" customHeight="1">
      <c r="C349" s="36"/>
      <c r="D349" s="24"/>
      <c r="H349" s="24"/>
    </row>
    <row r="350" ht="15.75" customHeight="1">
      <c r="C350" s="36"/>
      <c r="D350" s="24"/>
      <c r="H350" s="24"/>
    </row>
    <row r="351" ht="15.75" customHeight="1">
      <c r="C351" s="36"/>
      <c r="D351" s="24"/>
      <c r="H351" s="24"/>
    </row>
    <row r="352" ht="15.75" customHeight="1">
      <c r="C352" s="36"/>
      <c r="D352" s="24"/>
      <c r="H352" s="24"/>
    </row>
    <row r="353" ht="15.75" customHeight="1">
      <c r="C353" s="36"/>
      <c r="D353" s="24"/>
      <c r="H353" s="24"/>
    </row>
    <row r="354" ht="15.75" customHeight="1">
      <c r="C354" s="36"/>
      <c r="D354" s="24"/>
      <c r="H354" s="24"/>
    </row>
    <row r="355" ht="15.75" customHeight="1">
      <c r="C355" s="36"/>
      <c r="D355" s="24"/>
      <c r="H355" s="24"/>
    </row>
    <row r="356" ht="15.75" customHeight="1">
      <c r="C356" s="36"/>
      <c r="D356" s="24"/>
      <c r="H356" s="24"/>
    </row>
    <row r="357" ht="15.75" customHeight="1">
      <c r="C357" s="36"/>
      <c r="D357" s="24"/>
      <c r="H357" s="24"/>
    </row>
    <row r="358" ht="15.75" customHeight="1">
      <c r="C358" s="36"/>
      <c r="D358" s="24"/>
      <c r="H358" s="24"/>
    </row>
    <row r="359" ht="15.75" customHeight="1">
      <c r="C359" s="36"/>
      <c r="D359" s="24"/>
      <c r="H359" s="24"/>
    </row>
    <row r="360" ht="15.75" customHeight="1">
      <c r="C360" s="36"/>
      <c r="D360" s="24"/>
      <c r="H360" s="24"/>
    </row>
    <row r="361" ht="15.75" customHeight="1">
      <c r="C361" s="36"/>
      <c r="D361" s="24"/>
      <c r="H361" s="24"/>
    </row>
    <row r="362" ht="15.75" customHeight="1">
      <c r="C362" s="36"/>
      <c r="D362" s="24"/>
      <c r="H362" s="24"/>
    </row>
    <row r="363" ht="15.75" customHeight="1">
      <c r="C363" s="36"/>
      <c r="D363" s="24"/>
      <c r="H363" s="24"/>
    </row>
    <row r="364" ht="15.75" customHeight="1">
      <c r="C364" s="36"/>
      <c r="D364" s="24"/>
      <c r="H364" s="24"/>
    </row>
    <row r="365" ht="15.75" customHeight="1">
      <c r="C365" s="36"/>
      <c r="D365" s="24"/>
      <c r="H365" s="24"/>
    </row>
    <row r="366" ht="15.75" customHeight="1">
      <c r="C366" s="36"/>
      <c r="D366" s="24"/>
      <c r="H366" s="24"/>
    </row>
    <row r="367" ht="15.75" customHeight="1">
      <c r="C367" s="36"/>
      <c r="D367" s="24"/>
      <c r="H367" s="24"/>
    </row>
    <row r="368" ht="15.75" customHeight="1">
      <c r="C368" s="36"/>
      <c r="D368" s="24"/>
      <c r="H368" s="24"/>
    </row>
    <row r="369" ht="15.75" customHeight="1">
      <c r="C369" s="36"/>
      <c r="D369" s="24"/>
      <c r="H369" s="24"/>
    </row>
    <row r="370" ht="15.75" customHeight="1">
      <c r="C370" s="36"/>
      <c r="D370" s="24"/>
      <c r="H370" s="24"/>
    </row>
    <row r="371" ht="15.75" customHeight="1">
      <c r="C371" s="36"/>
      <c r="D371" s="24"/>
      <c r="H371" s="24"/>
    </row>
    <row r="372" ht="15.75" customHeight="1">
      <c r="C372" s="36"/>
      <c r="D372" s="24"/>
      <c r="H372" s="24"/>
    </row>
    <row r="373" ht="15.75" customHeight="1">
      <c r="C373" s="36"/>
      <c r="D373" s="24"/>
      <c r="H373" s="24"/>
    </row>
    <row r="374" ht="15.75" customHeight="1">
      <c r="C374" s="36"/>
      <c r="D374" s="24"/>
      <c r="H374" s="24"/>
    </row>
    <row r="375" ht="15.75" customHeight="1">
      <c r="C375" s="36"/>
      <c r="D375" s="24"/>
      <c r="H375" s="24"/>
    </row>
    <row r="376" ht="15.75" customHeight="1">
      <c r="C376" s="36"/>
      <c r="D376" s="24"/>
      <c r="H376" s="24"/>
    </row>
    <row r="377" ht="15.75" customHeight="1">
      <c r="C377" s="36"/>
      <c r="D377" s="24"/>
      <c r="H377" s="24"/>
    </row>
    <row r="378" ht="15.75" customHeight="1">
      <c r="C378" s="36"/>
      <c r="D378" s="24"/>
      <c r="H378" s="24"/>
    </row>
    <row r="379" ht="15.75" customHeight="1">
      <c r="C379" s="36"/>
      <c r="D379" s="24"/>
      <c r="H379" s="24"/>
    </row>
    <row r="380" ht="15.75" customHeight="1">
      <c r="C380" s="36"/>
      <c r="D380" s="24"/>
      <c r="H380" s="24"/>
    </row>
    <row r="381" ht="15.75" customHeight="1">
      <c r="C381" s="36"/>
      <c r="D381" s="24"/>
      <c r="H381" s="24"/>
    </row>
    <row r="382" ht="15.75" customHeight="1">
      <c r="C382" s="36"/>
      <c r="D382" s="24"/>
      <c r="H382" s="24"/>
    </row>
    <row r="383" ht="15.75" customHeight="1">
      <c r="C383" s="36"/>
      <c r="D383" s="24"/>
      <c r="H383" s="24"/>
    </row>
    <row r="384" ht="15.75" customHeight="1">
      <c r="C384" s="36"/>
      <c r="D384" s="24"/>
      <c r="H384" s="24"/>
    </row>
    <row r="385" ht="15.75" customHeight="1">
      <c r="C385" s="36"/>
      <c r="D385" s="24"/>
      <c r="H385" s="24"/>
    </row>
    <row r="386" ht="15.75" customHeight="1">
      <c r="C386" s="36"/>
      <c r="D386" s="24"/>
      <c r="H386" s="24"/>
    </row>
    <row r="387" ht="15.75" customHeight="1">
      <c r="C387" s="36"/>
      <c r="D387" s="24"/>
      <c r="H387" s="24"/>
    </row>
    <row r="388" ht="15.75" customHeight="1">
      <c r="C388" s="36"/>
      <c r="D388" s="24"/>
      <c r="H388" s="24"/>
    </row>
    <row r="389" ht="15.75" customHeight="1">
      <c r="C389" s="36"/>
      <c r="D389" s="24"/>
      <c r="H389" s="24"/>
    </row>
    <row r="390" ht="15.75" customHeight="1">
      <c r="C390" s="36"/>
      <c r="D390" s="24"/>
      <c r="H390" s="24"/>
    </row>
    <row r="391" ht="15.75" customHeight="1">
      <c r="C391" s="36"/>
      <c r="D391" s="24"/>
      <c r="H391" s="24"/>
    </row>
    <row r="392" ht="15.75" customHeight="1">
      <c r="C392" s="36"/>
      <c r="D392" s="24"/>
      <c r="H392" s="24"/>
    </row>
    <row r="393" ht="15.75" customHeight="1">
      <c r="C393" s="36"/>
      <c r="D393" s="24"/>
      <c r="H393" s="24"/>
    </row>
    <row r="394" ht="15.75" customHeight="1">
      <c r="C394" s="36"/>
      <c r="D394" s="24"/>
      <c r="H394" s="24"/>
    </row>
    <row r="395" ht="15.75" customHeight="1">
      <c r="C395" s="36"/>
      <c r="D395" s="24"/>
      <c r="H395" s="24"/>
    </row>
    <row r="396" ht="15.75" customHeight="1">
      <c r="C396" s="36"/>
      <c r="D396" s="24"/>
      <c r="H396" s="24"/>
    </row>
    <row r="397" ht="15.75" customHeight="1">
      <c r="C397" s="36"/>
      <c r="D397" s="24"/>
      <c r="H397" s="24"/>
    </row>
    <row r="398" ht="15.75" customHeight="1">
      <c r="C398" s="36"/>
      <c r="D398" s="24"/>
      <c r="H398" s="24"/>
    </row>
    <row r="399" ht="15.75" customHeight="1">
      <c r="C399" s="36"/>
      <c r="D399" s="24"/>
      <c r="H399" s="24"/>
    </row>
    <row r="400" ht="15.75" customHeight="1">
      <c r="C400" s="36"/>
      <c r="D400" s="24"/>
      <c r="H400" s="24"/>
    </row>
    <row r="401" ht="15.75" customHeight="1">
      <c r="C401" s="36"/>
      <c r="D401" s="24"/>
      <c r="H401" s="24"/>
    </row>
    <row r="402" ht="15.75" customHeight="1">
      <c r="C402" s="36"/>
      <c r="D402" s="24"/>
      <c r="H402" s="24"/>
    </row>
    <row r="403" ht="15.75" customHeight="1">
      <c r="C403" s="36"/>
      <c r="D403" s="24"/>
      <c r="H403" s="24"/>
    </row>
    <row r="404" ht="15.75" customHeight="1">
      <c r="C404" s="36"/>
      <c r="D404" s="24"/>
      <c r="H404" s="24"/>
    </row>
    <row r="405" ht="15.75" customHeight="1">
      <c r="C405" s="36"/>
      <c r="D405" s="24"/>
      <c r="H405" s="24"/>
    </row>
    <row r="406" ht="15.75" customHeight="1">
      <c r="C406" s="36"/>
      <c r="D406" s="24"/>
      <c r="H406" s="24"/>
    </row>
    <row r="407" ht="15.75" customHeight="1">
      <c r="C407" s="36"/>
      <c r="D407" s="24"/>
      <c r="H407" s="24"/>
    </row>
    <row r="408" ht="15.75" customHeight="1">
      <c r="C408" s="36"/>
      <c r="D408" s="24"/>
      <c r="H408" s="24"/>
    </row>
    <row r="409" ht="15.75" customHeight="1">
      <c r="C409" s="36"/>
      <c r="D409" s="24"/>
      <c r="H409" s="24"/>
    </row>
    <row r="410" ht="15.75" customHeight="1">
      <c r="C410" s="36"/>
      <c r="D410" s="24"/>
      <c r="H410" s="24"/>
    </row>
    <row r="411" ht="15.75" customHeight="1">
      <c r="C411" s="36"/>
      <c r="D411" s="24"/>
      <c r="H411" s="24"/>
    </row>
    <row r="412" ht="15.75" customHeight="1">
      <c r="C412" s="36"/>
      <c r="D412" s="24"/>
      <c r="H412" s="24"/>
    </row>
    <row r="413" ht="15.75" customHeight="1">
      <c r="C413" s="36"/>
      <c r="D413" s="24"/>
      <c r="H413" s="24"/>
    </row>
    <row r="414" ht="15.75" customHeight="1">
      <c r="C414" s="36"/>
      <c r="D414" s="24"/>
      <c r="H414" s="24"/>
    </row>
    <row r="415" ht="15.75" customHeight="1">
      <c r="C415" s="36"/>
      <c r="D415" s="24"/>
      <c r="H415" s="24"/>
    </row>
    <row r="416" ht="15.75" customHeight="1">
      <c r="C416" s="36"/>
      <c r="D416" s="24"/>
      <c r="H416" s="24"/>
    </row>
    <row r="417" ht="15.75" customHeight="1">
      <c r="C417" s="36"/>
      <c r="D417" s="24"/>
      <c r="H417" s="24"/>
    </row>
    <row r="418" ht="15.75" customHeight="1">
      <c r="C418" s="36"/>
      <c r="D418" s="24"/>
      <c r="H418" s="24"/>
    </row>
    <row r="419" ht="15.75" customHeight="1">
      <c r="C419" s="36"/>
      <c r="D419" s="24"/>
      <c r="H419" s="24"/>
    </row>
    <row r="420" ht="15.75" customHeight="1">
      <c r="C420" s="36"/>
      <c r="D420" s="24"/>
      <c r="H420" s="24"/>
    </row>
    <row r="421" ht="15.75" customHeight="1">
      <c r="C421" s="36"/>
      <c r="D421" s="24"/>
      <c r="H421" s="24"/>
    </row>
    <row r="422" ht="15.75" customHeight="1">
      <c r="C422" s="36"/>
      <c r="D422" s="24"/>
      <c r="H422" s="24"/>
    </row>
    <row r="423" ht="15.75" customHeight="1">
      <c r="C423" s="36"/>
      <c r="D423" s="24"/>
      <c r="H423" s="24"/>
    </row>
    <row r="424" ht="15.75" customHeight="1">
      <c r="C424" s="36"/>
      <c r="D424" s="24"/>
      <c r="H424" s="24"/>
    </row>
    <row r="425" ht="15.75" customHeight="1">
      <c r="C425" s="36"/>
      <c r="D425" s="24"/>
      <c r="H425" s="24"/>
    </row>
    <row r="426" ht="15.75" customHeight="1">
      <c r="C426" s="36"/>
      <c r="D426" s="24"/>
      <c r="H426" s="24"/>
    </row>
    <row r="427" ht="15.75" customHeight="1">
      <c r="C427" s="36"/>
      <c r="D427" s="24"/>
      <c r="H427" s="24"/>
    </row>
    <row r="428" ht="15.75" customHeight="1">
      <c r="C428" s="36"/>
      <c r="D428" s="24"/>
      <c r="H428" s="24"/>
    </row>
    <row r="429" ht="15.75" customHeight="1">
      <c r="C429" s="36"/>
      <c r="D429" s="24"/>
      <c r="H429" s="24"/>
    </row>
    <row r="430" ht="15.75" customHeight="1">
      <c r="C430" s="36"/>
      <c r="D430" s="24"/>
      <c r="H430" s="24"/>
    </row>
    <row r="431" ht="15.75" customHeight="1">
      <c r="C431" s="36"/>
      <c r="D431" s="24"/>
      <c r="H431" s="24"/>
    </row>
    <row r="432" ht="15.75" customHeight="1">
      <c r="C432" s="36"/>
      <c r="D432" s="24"/>
      <c r="H432" s="24"/>
    </row>
    <row r="433" ht="15.75" customHeight="1">
      <c r="C433" s="36"/>
      <c r="D433" s="24"/>
      <c r="H433" s="24"/>
    </row>
    <row r="434" ht="15.75" customHeight="1">
      <c r="C434" s="36"/>
      <c r="D434" s="24"/>
      <c r="H434" s="24"/>
    </row>
    <row r="435" ht="15.75" customHeight="1">
      <c r="C435" s="36"/>
      <c r="D435" s="24"/>
      <c r="H435" s="24"/>
    </row>
    <row r="436" ht="15.75" customHeight="1">
      <c r="C436" s="36"/>
      <c r="D436" s="24"/>
      <c r="H436" s="24"/>
    </row>
    <row r="437" ht="15.75" customHeight="1">
      <c r="C437" s="36"/>
      <c r="D437" s="24"/>
      <c r="H437" s="24"/>
    </row>
    <row r="438" ht="15.75" customHeight="1">
      <c r="C438" s="36"/>
      <c r="D438" s="24"/>
      <c r="H438" s="24"/>
    </row>
    <row r="439" ht="15.75" customHeight="1">
      <c r="C439" s="36"/>
      <c r="D439" s="24"/>
      <c r="H439" s="24"/>
    </row>
    <row r="440" ht="15.75" customHeight="1">
      <c r="C440" s="36"/>
      <c r="D440" s="24"/>
      <c r="H440" s="24"/>
    </row>
    <row r="441" ht="15.75" customHeight="1">
      <c r="C441" s="36"/>
      <c r="D441" s="24"/>
      <c r="H441" s="24"/>
    </row>
    <row r="442" ht="15.75" customHeight="1">
      <c r="C442" s="36"/>
      <c r="D442" s="24"/>
      <c r="H442" s="24"/>
    </row>
    <row r="443" ht="15.75" customHeight="1">
      <c r="C443" s="36"/>
      <c r="D443" s="24"/>
      <c r="H443" s="24"/>
    </row>
    <row r="444" ht="15.75" customHeight="1">
      <c r="C444" s="36"/>
      <c r="D444" s="24"/>
      <c r="H444" s="24"/>
    </row>
    <row r="445" ht="15.75" customHeight="1">
      <c r="C445" s="36"/>
      <c r="D445" s="24"/>
      <c r="H445" s="24"/>
    </row>
    <row r="446" ht="15.75" customHeight="1">
      <c r="C446" s="36"/>
      <c r="D446" s="24"/>
      <c r="H446" s="24"/>
    </row>
    <row r="447" ht="15.75" customHeight="1">
      <c r="C447" s="36"/>
      <c r="D447" s="24"/>
      <c r="H447" s="24"/>
    </row>
    <row r="448" ht="15.75" customHeight="1">
      <c r="C448" s="36"/>
      <c r="D448" s="24"/>
      <c r="H448" s="24"/>
    </row>
    <row r="449" ht="15.75" customHeight="1">
      <c r="C449" s="36"/>
      <c r="D449" s="24"/>
      <c r="H449" s="24"/>
    </row>
    <row r="450" ht="15.75" customHeight="1">
      <c r="C450" s="36"/>
      <c r="D450" s="24"/>
      <c r="H450" s="24"/>
    </row>
    <row r="451" ht="15.75" customHeight="1">
      <c r="C451" s="36"/>
      <c r="D451" s="24"/>
      <c r="H451" s="24"/>
    </row>
    <row r="452" ht="15.75" customHeight="1">
      <c r="C452" s="36"/>
      <c r="D452" s="24"/>
      <c r="H452" s="24"/>
    </row>
    <row r="453" ht="15.75" customHeight="1">
      <c r="C453" s="36"/>
      <c r="D453" s="24"/>
      <c r="H453" s="24"/>
    </row>
    <row r="454" ht="15.75" customHeight="1">
      <c r="C454" s="36"/>
      <c r="D454" s="24"/>
      <c r="H454" s="24"/>
    </row>
    <row r="455" ht="15.75" customHeight="1">
      <c r="C455" s="36"/>
      <c r="D455" s="24"/>
      <c r="H455" s="24"/>
    </row>
    <row r="456" ht="15.75" customHeight="1">
      <c r="C456" s="36"/>
      <c r="D456" s="24"/>
      <c r="H456" s="24"/>
    </row>
    <row r="457" ht="15.75" customHeight="1">
      <c r="C457" s="36"/>
      <c r="D457" s="24"/>
      <c r="H457" s="24"/>
    </row>
    <row r="458" ht="15.75" customHeight="1">
      <c r="C458" s="36"/>
      <c r="D458" s="24"/>
      <c r="H458" s="24"/>
    </row>
    <row r="459" ht="15.75" customHeight="1">
      <c r="C459" s="36"/>
      <c r="D459" s="24"/>
      <c r="H459" s="24"/>
    </row>
    <row r="460" ht="15.75" customHeight="1">
      <c r="C460" s="36"/>
      <c r="D460" s="24"/>
      <c r="H460" s="24"/>
    </row>
    <row r="461" ht="15.75" customHeight="1">
      <c r="C461" s="36"/>
      <c r="D461" s="24"/>
      <c r="H461" s="24"/>
    </row>
    <row r="462" ht="15.75" customHeight="1">
      <c r="C462" s="36"/>
      <c r="D462" s="24"/>
      <c r="H462" s="24"/>
    </row>
    <row r="463" ht="15.75" customHeight="1">
      <c r="C463" s="36"/>
      <c r="D463" s="24"/>
      <c r="H463" s="24"/>
    </row>
    <row r="464" ht="15.75" customHeight="1">
      <c r="C464" s="36"/>
      <c r="D464" s="24"/>
      <c r="H464" s="24"/>
    </row>
    <row r="465" ht="15.75" customHeight="1">
      <c r="C465" s="36"/>
      <c r="D465" s="24"/>
      <c r="H465" s="24"/>
    </row>
    <row r="466" ht="15.75" customHeight="1">
      <c r="C466" s="36"/>
      <c r="D466" s="24"/>
      <c r="H466" s="24"/>
    </row>
    <row r="467" ht="15.75" customHeight="1">
      <c r="C467" s="36"/>
      <c r="D467" s="24"/>
      <c r="H467" s="24"/>
    </row>
    <row r="468" ht="15.75" customHeight="1">
      <c r="C468" s="36"/>
      <c r="D468" s="24"/>
      <c r="H468" s="24"/>
    </row>
    <row r="469" ht="15.75" customHeight="1">
      <c r="C469" s="36"/>
      <c r="D469" s="24"/>
      <c r="H469" s="24"/>
    </row>
    <row r="470" ht="15.75" customHeight="1">
      <c r="C470" s="36"/>
      <c r="D470" s="24"/>
      <c r="H470" s="24"/>
    </row>
    <row r="471" ht="15.75" customHeight="1">
      <c r="C471" s="36"/>
      <c r="D471" s="24"/>
      <c r="H471" s="24"/>
    </row>
    <row r="472" ht="15.75" customHeight="1">
      <c r="C472" s="36"/>
      <c r="D472" s="24"/>
      <c r="H472" s="24"/>
    </row>
    <row r="473" ht="15.75" customHeight="1">
      <c r="C473" s="36"/>
      <c r="D473" s="24"/>
      <c r="H473" s="24"/>
    </row>
    <row r="474" ht="15.75" customHeight="1">
      <c r="C474" s="36"/>
      <c r="D474" s="24"/>
      <c r="H474" s="24"/>
    </row>
    <row r="475" ht="15.75" customHeight="1">
      <c r="C475" s="36"/>
      <c r="D475" s="24"/>
      <c r="H475" s="24"/>
    </row>
    <row r="476" ht="15.75" customHeight="1">
      <c r="C476" s="36"/>
      <c r="D476" s="24"/>
      <c r="H476" s="24"/>
    </row>
    <row r="477" ht="15.75" customHeight="1">
      <c r="C477" s="36"/>
      <c r="D477" s="24"/>
      <c r="H477" s="24"/>
    </row>
    <row r="478" ht="15.75" customHeight="1">
      <c r="C478" s="36"/>
      <c r="D478" s="24"/>
      <c r="H478" s="24"/>
    </row>
    <row r="479" ht="15.75" customHeight="1">
      <c r="C479" s="36"/>
      <c r="D479" s="24"/>
      <c r="H479" s="24"/>
    </row>
    <row r="480" ht="15.75" customHeight="1">
      <c r="C480" s="36"/>
      <c r="D480" s="24"/>
      <c r="H480" s="24"/>
    </row>
    <row r="481" ht="15.75" customHeight="1">
      <c r="C481" s="36"/>
      <c r="D481" s="24"/>
      <c r="H481" s="24"/>
    </row>
    <row r="482" ht="15.75" customHeight="1">
      <c r="C482" s="36"/>
      <c r="D482" s="24"/>
      <c r="H482" s="24"/>
    </row>
    <row r="483" ht="15.75" customHeight="1">
      <c r="C483" s="36"/>
      <c r="D483" s="24"/>
      <c r="H483" s="24"/>
    </row>
    <row r="484" ht="15.75" customHeight="1">
      <c r="C484" s="36"/>
      <c r="D484" s="24"/>
      <c r="H484" s="24"/>
    </row>
    <row r="485" ht="15.75" customHeight="1">
      <c r="C485" s="36"/>
      <c r="D485" s="24"/>
      <c r="H485" s="24"/>
    </row>
    <row r="486" ht="15.75" customHeight="1">
      <c r="C486" s="36"/>
      <c r="D486" s="24"/>
      <c r="H486" s="24"/>
    </row>
    <row r="487" ht="15.75" customHeight="1">
      <c r="C487" s="36"/>
      <c r="D487" s="24"/>
      <c r="H487" s="24"/>
    </row>
    <row r="488" ht="15.75" customHeight="1">
      <c r="C488" s="36"/>
      <c r="D488" s="24"/>
      <c r="H488" s="24"/>
    </row>
    <row r="489" ht="15.75" customHeight="1">
      <c r="C489" s="36"/>
      <c r="D489" s="24"/>
      <c r="H489" s="24"/>
    </row>
    <row r="490" ht="15.75" customHeight="1">
      <c r="C490" s="36"/>
      <c r="D490" s="24"/>
      <c r="H490" s="24"/>
    </row>
    <row r="491" ht="15.75" customHeight="1">
      <c r="C491" s="36"/>
      <c r="D491" s="24"/>
      <c r="H491" s="24"/>
    </row>
    <row r="492" ht="15.75" customHeight="1">
      <c r="C492" s="36"/>
      <c r="D492" s="24"/>
      <c r="H492" s="24"/>
    </row>
    <row r="493" ht="15.75" customHeight="1">
      <c r="C493" s="36"/>
      <c r="D493" s="24"/>
      <c r="H493" s="24"/>
    </row>
    <row r="494" ht="15.75" customHeight="1">
      <c r="C494" s="36"/>
      <c r="D494" s="24"/>
      <c r="H494" s="24"/>
    </row>
    <row r="495" ht="15.75" customHeight="1">
      <c r="C495" s="36"/>
      <c r="D495" s="24"/>
      <c r="H495" s="24"/>
    </row>
    <row r="496" ht="15.75" customHeight="1">
      <c r="C496" s="36"/>
      <c r="D496" s="24"/>
      <c r="H496" s="24"/>
    </row>
    <row r="497" ht="15.75" customHeight="1">
      <c r="C497" s="36"/>
      <c r="D497" s="24"/>
      <c r="H497" s="24"/>
    </row>
    <row r="498" ht="15.75" customHeight="1">
      <c r="C498" s="36"/>
      <c r="D498" s="24"/>
      <c r="H498" s="24"/>
    </row>
    <row r="499" ht="15.75" customHeight="1">
      <c r="C499" s="36"/>
      <c r="D499" s="24"/>
      <c r="H499" s="24"/>
    </row>
    <row r="500" ht="15.75" customHeight="1">
      <c r="C500" s="36"/>
      <c r="D500" s="24"/>
      <c r="H500" s="24"/>
    </row>
    <row r="501" ht="15.75" customHeight="1">
      <c r="C501" s="36"/>
      <c r="D501" s="24"/>
      <c r="H501" s="24"/>
    </row>
    <row r="502" ht="15.75" customHeight="1">
      <c r="C502" s="36"/>
      <c r="D502" s="24"/>
      <c r="H502" s="24"/>
    </row>
    <row r="503" ht="15.75" customHeight="1">
      <c r="C503" s="36"/>
      <c r="D503" s="24"/>
      <c r="H503" s="24"/>
    </row>
    <row r="504" ht="15.75" customHeight="1">
      <c r="C504" s="36"/>
      <c r="D504" s="24"/>
      <c r="H504" s="24"/>
    </row>
    <row r="505" ht="15.75" customHeight="1">
      <c r="C505" s="36"/>
      <c r="D505" s="24"/>
      <c r="H505" s="24"/>
    </row>
    <row r="506" ht="15.75" customHeight="1">
      <c r="C506" s="36"/>
      <c r="D506" s="24"/>
      <c r="H506" s="24"/>
    </row>
    <row r="507" ht="15.75" customHeight="1">
      <c r="C507" s="36"/>
      <c r="D507" s="24"/>
      <c r="H507" s="24"/>
    </row>
    <row r="508" ht="15.75" customHeight="1">
      <c r="C508" s="36"/>
      <c r="D508" s="24"/>
      <c r="H508" s="24"/>
    </row>
    <row r="509" ht="15.75" customHeight="1">
      <c r="C509" s="36"/>
      <c r="D509" s="24"/>
      <c r="H509" s="24"/>
    </row>
    <row r="510" ht="15.75" customHeight="1">
      <c r="C510" s="36"/>
      <c r="D510" s="24"/>
      <c r="H510" s="24"/>
    </row>
    <row r="511" ht="15.75" customHeight="1">
      <c r="C511" s="36"/>
      <c r="D511" s="24"/>
      <c r="H511" s="24"/>
    </row>
    <row r="512" ht="15.75" customHeight="1">
      <c r="C512" s="36"/>
      <c r="D512" s="24"/>
      <c r="H512" s="24"/>
    </row>
    <row r="513" ht="15.75" customHeight="1">
      <c r="C513" s="36"/>
      <c r="D513" s="24"/>
      <c r="H513" s="24"/>
    </row>
    <row r="514" ht="15.75" customHeight="1">
      <c r="C514" s="36"/>
      <c r="D514" s="24"/>
      <c r="H514" s="24"/>
    </row>
    <row r="515" ht="15.75" customHeight="1">
      <c r="C515" s="36"/>
      <c r="D515" s="24"/>
      <c r="H515" s="24"/>
    </row>
    <row r="516" ht="15.75" customHeight="1">
      <c r="C516" s="36"/>
      <c r="D516" s="24"/>
      <c r="H516" s="24"/>
    </row>
    <row r="517" ht="15.75" customHeight="1">
      <c r="C517" s="36"/>
      <c r="D517" s="24"/>
      <c r="H517" s="24"/>
    </row>
    <row r="518" ht="15.75" customHeight="1">
      <c r="C518" s="36"/>
      <c r="D518" s="24"/>
      <c r="H518" s="24"/>
    </row>
    <row r="519" ht="15.75" customHeight="1">
      <c r="C519" s="36"/>
      <c r="D519" s="24"/>
      <c r="H519" s="24"/>
    </row>
    <row r="520" ht="15.75" customHeight="1">
      <c r="C520" s="36"/>
      <c r="D520" s="24"/>
      <c r="H520" s="24"/>
    </row>
    <row r="521" ht="15.75" customHeight="1">
      <c r="C521" s="36"/>
      <c r="D521" s="24"/>
      <c r="H521" s="24"/>
    </row>
    <row r="522" ht="15.75" customHeight="1">
      <c r="C522" s="36"/>
      <c r="D522" s="24"/>
      <c r="H522" s="24"/>
    </row>
    <row r="523" ht="15.75" customHeight="1">
      <c r="C523" s="36"/>
      <c r="D523" s="24"/>
      <c r="H523" s="24"/>
    </row>
    <row r="524" ht="15.75" customHeight="1">
      <c r="C524" s="36"/>
      <c r="D524" s="24"/>
      <c r="H524" s="24"/>
    </row>
    <row r="525" ht="15.75" customHeight="1">
      <c r="C525" s="36"/>
      <c r="D525" s="24"/>
      <c r="H525" s="24"/>
    </row>
    <row r="526" ht="15.75" customHeight="1">
      <c r="C526" s="36"/>
      <c r="D526" s="24"/>
      <c r="H526" s="24"/>
    </row>
    <row r="527" ht="15.75" customHeight="1">
      <c r="C527" s="36"/>
      <c r="D527" s="24"/>
      <c r="H527" s="24"/>
    </row>
    <row r="528" ht="15.75" customHeight="1">
      <c r="C528" s="36"/>
      <c r="D528" s="24"/>
      <c r="H528" s="24"/>
    </row>
    <row r="529" ht="15.75" customHeight="1">
      <c r="C529" s="36"/>
      <c r="D529" s="24"/>
      <c r="H529" s="24"/>
    </row>
    <row r="530" ht="15.75" customHeight="1">
      <c r="C530" s="36"/>
      <c r="D530" s="24"/>
      <c r="H530" s="24"/>
    </row>
    <row r="531" ht="15.75" customHeight="1">
      <c r="C531" s="36"/>
      <c r="D531" s="24"/>
      <c r="H531" s="24"/>
    </row>
    <row r="532" ht="15.75" customHeight="1">
      <c r="C532" s="36"/>
      <c r="D532" s="24"/>
      <c r="H532" s="24"/>
    </row>
    <row r="533" ht="15.75" customHeight="1">
      <c r="C533" s="36"/>
      <c r="D533" s="24"/>
      <c r="H533" s="24"/>
    </row>
    <row r="534" ht="15.75" customHeight="1">
      <c r="C534" s="36"/>
      <c r="D534" s="24"/>
      <c r="H534" s="24"/>
    </row>
    <row r="535" ht="15.75" customHeight="1">
      <c r="C535" s="36"/>
      <c r="D535" s="24"/>
      <c r="H535" s="24"/>
    </row>
    <row r="536" ht="15.75" customHeight="1">
      <c r="C536" s="36"/>
      <c r="D536" s="24"/>
      <c r="H536" s="24"/>
    </row>
    <row r="537" ht="15.75" customHeight="1">
      <c r="C537" s="36"/>
      <c r="D537" s="24"/>
      <c r="H537" s="24"/>
    </row>
    <row r="538" ht="15.75" customHeight="1">
      <c r="C538" s="36"/>
      <c r="D538" s="24"/>
      <c r="H538" s="24"/>
    </row>
    <row r="539" ht="15.75" customHeight="1">
      <c r="C539" s="36"/>
      <c r="D539" s="24"/>
      <c r="H539" s="24"/>
    </row>
    <row r="540" ht="15.75" customHeight="1">
      <c r="C540" s="36"/>
      <c r="D540" s="24"/>
      <c r="H540" s="24"/>
    </row>
    <row r="541" ht="15.75" customHeight="1">
      <c r="C541" s="36"/>
      <c r="D541" s="24"/>
      <c r="H541" s="24"/>
    </row>
    <row r="542" ht="15.75" customHeight="1">
      <c r="C542" s="36"/>
      <c r="D542" s="24"/>
      <c r="H542" s="24"/>
    </row>
    <row r="543" ht="15.75" customHeight="1">
      <c r="C543" s="36"/>
      <c r="D543" s="24"/>
      <c r="H543" s="24"/>
    </row>
    <row r="544" ht="15.75" customHeight="1">
      <c r="C544" s="36"/>
      <c r="D544" s="24"/>
      <c r="H544" s="24"/>
    </row>
    <row r="545" ht="15.75" customHeight="1">
      <c r="C545" s="36"/>
      <c r="D545" s="24"/>
      <c r="H545" s="24"/>
    </row>
    <row r="546" ht="15.75" customHeight="1">
      <c r="C546" s="36"/>
      <c r="D546" s="24"/>
      <c r="H546" s="24"/>
    </row>
    <row r="547" ht="15.75" customHeight="1">
      <c r="C547" s="36"/>
      <c r="D547" s="24"/>
      <c r="H547" s="24"/>
    </row>
    <row r="548" ht="15.75" customHeight="1">
      <c r="C548" s="36"/>
      <c r="D548" s="24"/>
      <c r="H548" s="24"/>
    </row>
    <row r="549" ht="15.75" customHeight="1">
      <c r="C549" s="36"/>
      <c r="D549" s="24"/>
      <c r="H549" s="24"/>
    </row>
    <row r="550" ht="15.75" customHeight="1">
      <c r="C550" s="36"/>
      <c r="D550" s="24"/>
      <c r="H550" s="24"/>
    </row>
    <row r="551" ht="15.75" customHeight="1">
      <c r="C551" s="36"/>
      <c r="D551" s="24"/>
      <c r="H551" s="24"/>
    </row>
    <row r="552" ht="15.75" customHeight="1">
      <c r="C552" s="36"/>
      <c r="D552" s="24"/>
      <c r="H552" s="24"/>
    </row>
    <row r="553" ht="15.75" customHeight="1">
      <c r="C553" s="36"/>
      <c r="D553" s="24"/>
      <c r="H553" s="24"/>
    </row>
    <row r="554" ht="15.75" customHeight="1">
      <c r="C554" s="36"/>
      <c r="D554" s="24"/>
      <c r="H554" s="24"/>
    </row>
    <row r="555" ht="15.75" customHeight="1">
      <c r="C555" s="36"/>
      <c r="D555" s="24"/>
      <c r="H555" s="24"/>
    </row>
    <row r="556" ht="15.75" customHeight="1">
      <c r="C556" s="36"/>
      <c r="D556" s="24"/>
      <c r="H556" s="24"/>
    </row>
    <row r="557" ht="15.75" customHeight="1">
      <c r="C557" s="36"/>
      <c r="D557" s="24"/>
      <c r="H557" s="24"/>
    </row>
    <row r="558" ht="15.75" customHeight="1">
      <c r="C558" s="36"/>
      <c r="D558" s="24"/>
      <c r="H558" s="24"/>
    </row>
    <row r="559" ht="15.75" customHeight="1">
      <c r="C559" s="36"/>
      <c r="D559" s="24"/>
      <c r="H559" s="24"/>
    </row>
    <row r="560" ht="15.75" customHeight="1">
      <c r="C560" s="36"/>
      <c r="D560" s="24"/>
      <c r="H560" s="24"/>
    </row>
    <row r="561" ht="15.75" customHeight="1">
      <c r="C561" s="36"/>
      <c r="D561" s="24"/>
      <c r="H561" s="24"/>
    </row>
    <row r="562" ht="15.75" customHeight="1">
      <c r="C562" s="36"/>
      <c r="D562" s="24"/>
      <c r="H562" s="24"/>
    </row>
    <row r="563" ht="15.75" customHeight="1">
      <c r="C563" s="36"/>
      <c r="D563" s="24"/>
      <c r="H563" s="24"/>
    </row>
    <row r="564" ht="15.75" customHeight="1">
      <c r="C564" s="36"/>
      <c r="D564" s="24"/>
      <c r="H564" s="24"/>
    </row>
    <row r="565" ht="15.75" customHeight="1">
      <c r="C565" s="36"/>
      <c r="D565" s="24"/>
      <c r="H565" s="24"/>
    </row>
    <row r="566" ht="15.75" customHeight="1">
      <c r="C566" s="36"/>
      <c r="D566" s="24"/>
      <c r="H566" s="24"/>
    </row>
    <row r="567" ht="15.75" customHeight="1">
      <c r="C567" s="36"/>
      <c r="D567" s="24"/>
      <c r="H567" s="24"/>
    </row>
    <row r="568" ht="15.75" customHeight="1">
      <c r="C568" s="36"/>
      <c r="D568" s="24"/>
      <c r="H568" s="24"/>
    </row>
    <row r="569" ht="15.75" customHeight="1">
      <c r="C569" s="36"/>
      <c r="D569" s="24"/>
      <c r="H569" s="24"/>
    </row>
    <row r="570" ht="15.75" customHeight="1">
      <c r="C570" s="36"/>
      <c r="D570" s="24"/>
      <c r="H570" s="24"/>
    </row>
    <row r="571" ht="15.75" customHeight="1">
      <c r="C571" s="36"/>
      <c r="D571" s="24"/>
      <c r="H571" s="24"/>
    </row>
    <row r="572" ht="15.75" customHeight="1">
      <c r="C572" s="36"/>
      <c r="D572" s="24"/>
      <c r="H572" s="24"/>
    </row>
    <row r="573" ht="15.75" customHeight="1">
      <c r="C573" s="36"/>
      <c r="D573" s="24"/>
      <c r="H573" s="24"/>
    </row>
    <row r="574" ht="15.75" customHeight="1">
      <c r="C574" s="36"/>
      <c r="D574" s="24"/>
      <c r="H574" s="24"/>
    </row>
    <row r="575" ht="15.75" customHeight="1">
      <c r="C575" s="36"/>
      <c r="D575" s="24"/>
      <c r="H575" s="24"/>
    </row>
    <row r="576" ht="15.75" customHeight="1">
      <c r="C576" s="36"/>
      <c r="D576" s="24"/>
      <c r="H576" s="24"/>
    </row>
    <row r="577" ht="15.75" customHeight="1">
      <c r="C577" s="36"/>
      <c r="D577" s="24"/>
      <c r="H577" s="24"/>
    </row>
    <row r="578" ht="15.75" customHeight="1">
      <c r="C578" s="36"/>
      <c r="D578" s="24"/>
      <c r="H578" s="24"/>
    </row>
    <row r="579" ht="15.75" customHeight="1">
      <c r="C579" s="36"/>
      <c r="D579" s="24"/>
      <c r="H579" s="24"/>
    </row>
    <row r="580" ht="15.75" customHeight="1">
      <c r="C580" s="36"/>
      <c r="D580" s="24"/>
      <c r="H580" s="24"/>
    </row>
    <row r="581" ht="15.75" customHeight="1">
      <c r="C581" s="36"/>
      <c r="D581" s="24"/>
      <c r="H581" s="24"/>
    </row>
    <row r="582" ht="15.75" customHeight="1">
      <c r="C582" s="36"/>
      <c r="D582" s="24"/>
      <c r="H582" s="24"/>
    </row>
    <row r="583" ht="15.75" customHeight="1">
      <c r="C583" s="36"/>
      <c r="D583" s="24"/>
      <c r="H583" s="24"/>
    </row>
    <row r="584" ht="15.75" customHeight="1">
      <c r="C584" s="36"/>
      <c r="D584" s="24"/>
      <c r="H584" s="24"/>
    </row>
    <row r="585" ht="15.75" customHeight="1">
      <c r="C585" s="36"/>
      <c r="D585" s="24"/>
      <c r="H585" s="24"/>
    </row>
    <row r="586" ht="15.75" customHeight="1">
      <c r="C586" s="36"/>
      <c r="D586" s="24"/>
      <c r="H586" s="24"/>
    </row>
    <row r="587" ht="15.75" customHeight="1">
      <c r="C587" s="36"/>
      <c r="D587" s="24"/>
      <c r="H587" s="24"/>
    </row>
    <row r="588" ht="15.75" customHeight="1">
      <c r="C588" s="36"/>
      <c r="D588" s="24"/>
      <c r="H588" s="24"/>
    </row>
    <row r="589" ht="15.75" customHeight="1">
      <c r="C589" s="36"/>
      <c r="D589" s="24"/>
      <c r="H589" s="24"/>
    </row>
    <row r="590" ht="15.75" customHeight="1">
      <c r="C590" s="36"/>
      <c r="D590" s="24"/>
      <c r="H590" s="24"/>
    </row>
    <row r="591" ht="15.75" customHeight="1">
      <c r="C591" s="36"/>
      <c r="D591" s="24"/>
      <c r="H591" s="24"/>
    </row>
    <row r="592" ht="15.75" customHeight="1">
      <c r="C592" s="36"/>
      <c r="D592" s="24"/>
      <c r="H592" s="24"/>
    </row>
    <row r="593" ht="15.75" customHeight="1">
      <c r="C593" s="36"/>
      <c r="D593" s="24"/>
      <c r="H593" s="24"/>
    </row>
    <row r="594" ht="15.75" customHeight="1">
      <c r="C594" s="36"/>
      <c r="D594" s="24"/>
      <c r="H594" s="24"/>
    </row>
    <row r="595" ht="15.75" customHeight="1">
      <c r="C595" s="36"/>
      <c r="D595" s="24"/>
      <c r="H595" s="24"/>
    </row>
    <row r="596" ht="15.75" customHeight="1">
      <c r="C596" s="36"/>
      <c r="D596" s="24"/>
      <c r="H596" s="24"/>
    </row>
    <row r="597" ht="15.75" customHeight="1">
      <c r="C597" s="36"/>
      <c r="D597" s="24"/>
      <c r="H597" s="24"/>
    </row>
    <row r="598" ht="15.75" customHeight="1">
      <c r="C598" s="36"/>
      <c r="D598" s="24"/>
      <c r="H598" s="24"/>
    </row>
    <row r="599" ht="15.75" customHeight="1">
      <c r="C599" s="36"/>
      <c r="D599" s="24"/>
      <c r="H599" s="24"/>
    </row>
    <row r="600" ht="15.75" customHeight="1">
      <c r="C600" s="36"/>
      <c r="D600" s="24"/>
      <c r="H600" s="24"/>
    </row>
    <row r="601" ht="15.75" customHeight="1">
      <c r="C601" s="36"/>
      <c r="D601" s="24"/>
      <c r="H601" s="24"/>
    </row>
    <row r="602" ht="15.75" customHeight="1">
      <c r="C602" s="36"/>
      <c r="D602" s="24"/>
      <c r="H602" s="24"/>
    </row>
    <row r="603" ht="15.75" customHeight="1">
      <c r="C603" s="36"/>
      <c r="D603" s="24"/>
      <c r="H603" s="24"/>
    </row>
    <row r="604" ht="15.75" customHeight="1">
      <c r="C604" s="36"/>
      <c r="D604" s="24"/>
      <c r="H604" s="24"/>
    </row>
    <row r="605" ht="15.75" customHeight="1">
      <c r="C605" s="36"/>
      <c r="D605" s="24"/>
      <c r="H605" s="24"/>
    </row>
    <row r="606" ht="15.75" customHeight="1">
      <c r="C606" s="36"/>
      <c r="D606" s="24"/>
      <c r="H606" s="24"/>
    </row>
    <row r="607" ht="15.75" customHeight="1">
      <c r="C607" s="36"/>
      <c r="D607" s="24"/>
      <c r="H607" s="24"/>
    </row>
    <row r="608" ht="15.75" customHeight="1">
      <c r="C608" s="36"/>
      <c r="D608" s="24"/>
      <c r="H608" s="24"/>
    </row>
    <row r="609" ht="15.75" customHeight="1">
      <c r="C609" s="36"/>
      <c r="D609" s="24"/>
      <c r="H609" s="24"/>
    </row>
    <row r="610" ht="15.75" customHeight="1">
      <c r="C610" s="36"/>
      <c r="D610" s="24"/>
      <c r="H610" s="24"/>
    </row>
    <row r="611" ht="15.75" customHeight="1">
      <c r="C611" s="36"/>
      <c r="D611" s="24"/>
      <c r="H611" s="24"/>
    </row>
    <row r="612" ht="15.75" customHeight="1">
      <c r="C612" s="36"/>
      <c r="D612" s="24"/>
      <c r="H612" s="24"/>
    </row>
    <row r="613" ht="15.75" customHeight="1">
      <c r="C613" s="36"/>
      <c r="D613" s="24"/>
      <c r="H613" s="24"/>
    </row>
    <row r="614" ht="15.75" customHeight="1">
      <c r="C614" s="36"/>
      <c r="D614" s="24"/>
      <c r="H614" s="24"/>
    </row>
    <row r="615" ht="15.75" customHeight="1">
      <c r="C615" s="36"/>
      <c r="D615" s="24"/>
      <c r="H615" s="24"/>
    </row>
    <row r="616" ht="15.75" customHeight="1">
      <c r="C616" s="36"/>
      <c r="D616" s="24"/>
      <c r="H616" s="24"/>
    </row>
    <row r="617" ht="15.75" customHeight="1">
      <c r="C617" s="36"/>
      <c r="D617" s="24"/>
      <c r="H617" s="24"/>
    </row>
    <row r="618" ht="15.75" customHeight="1">
      <c r="C618" s="36"/>
      <c r="D618" s="24"/>
      <c r="H618" s="24"/>
    </row>
    <row r="619" ht="15.75" customHeight="1">
      <c r="C619" s="36"/>
      <c r="D619" s="24"/>
      <c r="H619" s="24"/>
    </row>
    <row r="620" ht="15.75" customHeight="1">
      <c r="C620" s="36"/>
      <c r="D620" s="24"/>
      <c r="H620" s="24"/>
    </row>
    <row r="621" ht="15.75" customHeight="1">
      <c r="C621" s="36"/>
      <c r="D621" s="24"/>
      <c r="H621" s="24"/>
    </row>
    <row r="622" ht="15.75" customHeight="1">
      <c r="C622" s="36"/>
      <c r="D622" s="24"/>
      <c r="H622" s="24"/>
    </row>
    <row r="623" ht="15.75" customHeight="1">
      <c r="C623" s="36"/>
      <c r="D623" s="24"/>
      <c r="H623" s="24"/>
    </row>
    <row r="624" ht="15.75" customHeight="1">
      <c r="C624" s="36"/>
      <c r="D624" s="24"/>
      <c r="H624" s="24"/>
    </row>
    <row r="625" ht="15.75" customHeight="1">
      <c r="C625" s="36"/>
      <c r="D625" s="24"/>
      <c r="H625" s="24"/>
    </row>
    <row r="626" ht="15.75" customHeight="1">
      <c r="C626" s="36"/>
      <c r="D626" s="24"/>
      <c r="H626" s="24"/>
    </row>
    <row r="627" ht="15.75" customHeight="1">
      <c r="C627" s="36"/>
      <c r="D627" s="24"/>
      <c r="H627" s="24"/>
    </row>
    <row r="628" ht="15.75" customHeight="1">
      <c r="C628" s="36"/>
      <c r="D628" s="24"/>
      <c r="H628" s="24"/>
    </row>
    <row r="629" ht="15.75" customHeight="1">
      <c r="C629" s="36"/>
      <c r="D629" s="24"/>
      <c r="H629" s="24"/>
    </row>
    <row r="630" ht="15.75" customHeight="1">
      <c r="C630" s="36"/>
      <c r="D630" s="24"/>
      <c r="H630" s="24"/>
    </row>
    <row r="631" ht="15.75" customHeight="1">
      <c r="C631" s="36"/>
      <c r="D631" s="24"/>
      <c r="H631" s="24"/>
    </row>
    <row r="632" ht="15.75" customHeight="1">
      <c r="C632" s="36"/>
      <c r="D632" s="24"/>
      <c r="H632" s="24"/>
    </row>
    <row r="633" ht="15.75" customHeight="1">
      <c r="C633" s="36"/>
      <c r="D633" s="24"/>
      <c r="H633" s="24"/>
    </row>
    <row r="634" ht="15.75" customHeight="1">
      <c r="C634" s="36"/>
      <c r="D634" s="24"/>
      <c r="H634" s="24"/>
    </row>
    <row r="635" ht="15.75" customHeight="1">
      <c r="C635" s="36"/>
      <c r="D635" s="24"/>
      <c r="H635" s="24"/>
    </row>
    <row r="636" ht="15.75" customHeight="1">
      <c r="C636" s="36"/>
      <c r="D636" s="24"/>
      <c r="H636" s="24"/>
    </row>
    <row r="637" ht="15.75" customHeight="1">
      <c r="C637" s="36"/>
      <c r="D637" s="24"/>
      <c r="H637" s="24"/>
    </row>
    <row r="638" ht="15.75" customHeight="1">
      <c r="C638" s="36"/>
      <c r="D638" s="24"/>
      <c r="H638" s="24"/>
    </row>
    <row r="639" ht="15.75" customHeight="1">
      <c r="C639" s="36"/>
      <c r="D639" s="24"/>
      <c r="H639" s="24"/>
    </row>
    <row r="640" ht="15.75" customHeight="1">
      <c r="C640" s="36"/>
      <c r="D640" s="24"/>
      <c r="H640" s="24"/>
    </row>
    <row r="641" ht="15.75" customHeight="1">
      <c r="C641" s="36"/>
      <c r="D641" s="24"/>
      <c r="H641" s="24"/>
    </row>
    <row r="642" ht="15.75" customHeight="1">
      <c r="C642" s="36"/>
      <c r="D642" s="24"/>
      <c r="H642" s="24"/>
    </row>
    <row r="643" ht="15.75" customHeight="1">
      <c r="C643" s="36"/>
      <c r="D643" s="24"/>
      <c r="H643" s="24"/>
    </row>
    <row r="644" ht="15.75" customHeight="1">
      <c r="C644" s="36"/>
      <c r="D644" s="24"/>
      <c r="H644" s="24"/>
    </row>
    <row r="645" ht="15.75" customHeight="1">
      <c r="C645" s="36"/>
      <c r="D645" s="24"/>
      <c r="H645" s="24"/>
    </row>
    <row r="646" ht="15.75" customHeight="1">
      <c r="C646" s="36"/>
      <c r="D646" s="24"/>
      <c r="H646" s="24"/>
    </row>
    <row r="647" ht="15.75" customHeight="1">
      <c r="C647" s="36"/>
      <c r="D647" s="24"/>
      <c r="H647" s="24"/>
    </row>
    <row r="648" ht="15.75" customHeight="1">
      <c r="C648" s="36"/>
      <c r="D648" s="24"/>
      <c r="H648" s="24"/>
    </row>
    <row r="649" ht="15.75" customHeight="1">
      <c r="C649" s="36"/>
      <c r="D649" s="24"/>
      <c r="H649" s="24"/>
    </row>
    <row r="650" ht="15.75" customHeight="1">
      <c r="C650" s="36"/>
      <c r="D650" s="24"/>
      <c r="H650" s="24"/>
    </row>
    <row r="651" ht="15.75" customHeight="1">
      <c r="C651" s="36"/>
      <c r="D651" s="24"/>
      <c r="H651" s="24"/>
    </row>
    <row r="652" ht="15.75" customHeight="1">
      <c r="C652" s="36"/>
      <c r="D652" s="24"/>
      <c r="H652" s="24"/>
    </row>
    <row r="653" ht="15.75" customHeight="1">
      <c r="C653" s="36"/>
      <c r="D653" s="24"/>
      <c r="H653" s="24"/>
    </row>
    <row r="654" ht="15.75" customHeight="1">
      <c r="C654" s="36"/>
      <c r="D654" s="24"/>
      <c r="H654" s="24"/>
    </row>
    <row r="655" ht="15.75" customHeight="1">
      <c r="C655" s="36"/>
      <c r="D655" s="24"/>
      <c r="H655" s="24"/>
    </row>
    <row r="656" ht="15.75" customHeight="1">
      <c r="C656" s="36"/>
      <c r="D656" s="24"/>
      <c r="H656" s="24"/>
    </row>
    <row r="657" ht="15.75" customHeight="1">
      <c r="C657" s="36"/>
      <c r="D657" s="24"/>
      <c r="H657" s="24"/>
    </row>
    <row r="658" ht="15.75" customHeight="1">
      <c r="C658" s="36"/>
      <c r="D658" s="24"/>
      <c r="H658" s="24"/>
    </row>
    <row r="659" ht="15.75" customHeight="1">
      <c r="C659" s="36"/>
      <c r="D659" s="24"/>
      <c r="H659" s="24"/>
    </row>
    <row r="660" ht="15.75" customHeight="1">
      <c r="C660" s="36"/>
      <c r="D660" s="24"/>
      <c r="H660" s="24"/>
    </row>
    <row r="661" ht="15.75" customHeight="1">
      <c r="C661" s="36"/>
      <c r="D661" s="24"/>
      <c r="H661" s="24"/>
    </row>
    <row r="662" ht="15.75" customHeight="1">
      <c r="C662" s="36"/>
      <c r="D662" s="24"/>
      <c r="H662" s="24"/>
    </row>
    <row r="663" ht="15.75" customHeight="1">
      <c r="C663" s="36"/>
      <c r="D663" s="24"/>
      <c r="H663" s="24"/>
    </row>
    <row r="664" ht="15.75" customHeight="1">
      <c r="C664" s="36"/>
      <c r="D664" s="24"/>
      <c r="H664" s="24"/>
    </row>
    <row r="665" ht="15.75" customHeight="1">
      <c r="C665" s="36"/>
      <c r="D665" s="24"/>
      <c r="H665" s="24"/>
    </row>
    <row r="666" ht="15.75" customHeight="1">
      <c r="C666" s="36"/>
      <c r="D666" s="24"/>
      <c r="H666" s="24"/>
    </row>
    <row r="667" ht="15.75" customHeight="1">
      <c r="C667" s="36"/>
      <c r="D667" s="24"/>
      <c r="H667" s="24"/>
    </row>
    <row r="668" ht="15.75" customHeight="1">
      <c r="C668" s="36"/>
      <c r="D668" s="24"/>
      <c r="H668" s="24"/>
    </row>
    <row r="669" ht="15.75" customHeight="1">
      <c r="C669" s="36"/>
      <c r="D669" s="24"/>
      <c r="H669" s="24"/>
    </row>
    <row r="670" ht="15.75" customHeight="1">
      <c r="C670" s="36"/>
      <c r="D670" s="24"/>
      <c r="H670" s="24"/>
    </row>
    <row r="671" ht="15.75" customHeight="1">
      <c r="C671" s="36"/>
      <c r="D671" s="24"/>
      <c r="H671" s="24"/>
    </row>
    <row r="672" ht="15.75" customHeight="1">
      <c r="C672" s="36"/>
      <c r="D672" s="24"/>
      <c r="H672" s="24"/>
    </row>
    <row r="673" ht="15.75" customHeight="1">
      <c r="C673" s="36"/>
      <c r="D673" s="24"/>
      <c r="H673" s="24"/>
    </row>
    <row r="674" ht="15.75" customHeight="1">
      <c r="C674" s="36"/>
      <c r="D674" s="24"/>
      <c r="H674" s="24"/>
    </row>
    <row r="675" ht="15.75" customHeight="1">
      <c r="C675" s="36"/>
      <c r="D675" s="24"/>
      <c r="H675" s="24"/>
    </row>
    <row r="676" ht="15.75" customHeight="1">
      <c r="C676" s="36"/>
      <c r="D676" s="24"/>
      <c r="H676" s="24"/>
    </row>
    <row r="677" ht="15.75" customHeight="1">
      <c r="C677" s="36"/>
      <c r="D677" s="24"/>
      <c r="H677" s="24"/>
    </row>
    <row r="678" ht="15.75" customHeight="1">
      <c r="C678" s="36"/>
      <c r="D678" s="24"/>
      <c r="H678" s="24"/>
    </row>
    <row r="679" ht="15.75" customHeight="1">
      <c r="C679" s="36"/>
      <c r="D679" s="24"/>
      <c r="H679" s="24"/>
    </row>
    <row r="680" ht="15.75" customHeight="1">
      <c r="C680" s="36"/>
      <c r="D680" s="24"/>
      <c r="H680" s="24"/>
    </row>
    <row r="681" ht="15.75" customHeight="1">
      <c r="C681" s="36"/>
      <c r="D681" s="24"/>
      <c r="H681" s="24"/>
    </row>
    <row r="682" ht="15.75" customHeight="1">
      <c r="C682" s="36"/>
      <c r="D682" s="24"/>
      <c r="H682" s="24"/>
    </row>
    <row r="683" ht="15.75" customHeight="1">
      <c r="C683" s="36"/>
      <c r="D683" s="24"/>
      <c r="H683" s="24"/>
    </row>
    <row r="684" ht="15.75" customHeight="1">
      <c r="C684" s="36"/>
      <c r="D684" s="24"/>
      <c r="H684" s="24"/>
    </row>
    <row r="685" ht="15.75" customHeight="1">
      <c r="C685" s="36"/>
      <c r="D685" s="24"/>
      <c r="H685" s="24"/>
    </row>
    <row r="686" ht="15.75" customHeight="1">
      <c r="C686" s="36"/>
      <c r="D686" s="24"/>
      <c r="H686" s="24"/>
    </row>
    <row r="687" ht="15.75" customHeight="1">
      <c r="C687" s="36"/>
      <c r="D687" s="24"/>
      <c r="H687" s="24"/>
    </row>
    <row r="688" ht="15.75" customHeight="1">
      <c r="C688" s="36"/>
      <c r="D688" s="24"/>
      <c r="H688" s="24"/>
    </row>
    <row r="689" ht="15.75" customHeight="1">
      <c r="C689" s="36"/>
      <c r="D689" s="24"/>
      <c r="H689" s="24"/>
    </row>
    <row r="690" ht="15.75" customHeight="1">
      <c r="C690" s="36"/>
      <c r="D690" s="24"/>
      <c r="H690" s="24"/>
    </row>
    <row r="691" ht="15.75" customHeight="1">
      <c r="C691" s="36"/>
      <c r="D691" s="24"/>
      <c r="H691" s="24"/>
    </row>
    <row r="692" ht="15.75" customHeight="1">
      <c r="C692" s="36"/>
      <c r="D692" s="24"/>
      <c r="H692" s="24"/>
    </row>
    <row r="693" ht="15.75" customHeight="1">
      <c r="C693" s="36"/>
      <c r="D693" s="24"/>
      <c r="H693" s="24"/>
    </row>
    <row r="694" ht="15.75" customHeight="1">
      <c r="C694" s="36"/>
      <c r="D694" s="24"/>
      <c r="H694" s="24"/>
    </row>
    <row r="695" ht="15.75" customHeight="1">
      <c r="C695" s="36"/>
      <c r="D695" s="24"/>
      <c r="H695" s="24"/>
    </row>
    <row r="696" ht="15.75" customHeight="1">
      <c r="C696" s="36"/>
      <c r="D696" s="24"/>
      <c r="H696" s="24"/>
    </row>
    <row r="697" ht="15.75" customHeight="1">
      <c r="C697" s="36"/>
      <c r="D697" s="24"/>
      <c r="H697" s="24"/>
    </row>
    <row r="698" ht="15.75" customHeight="1">
      <c r="C698" s="36"/>
      <c r="D698" s="24"/>
      <c r="H698" s="24"/>
    </row>
    <row r="699" ht="15.75" customHeight="1">
      <c r="C699" s="36"/>
      <c r="D699" s="24"/>
      <c r="H699" s="24"/>
    </row>
    <row r="700" ht="15.75" customHeight="1">
      <c r="C700" s="36"/>
      <c r="D700" s="24"/>
      <c r="H700" s="24"/>
    </row>
    <row r="701" ht="15.75" customHeight="1">
      <c r="C701" s="36"/>
      <c r="D701" s="24"/>
      <c r="H701" s="24"/>
    </row>
    <row r="702" ht="15.75" customHeight="1">
      <c r="C702" s="36"/>
      <c r="D702" s="24"/>
      <c r="H702" s="24"/>
    </row>
    <row r="703" ht="15.75" customHeight="1">
      <c r="C703" s="36"/>
      <c r="D703" s="24"/>
      <c r="H703" s="24"/>
    </row>
    <row r="704" ht="15.75" customHeight="1">
      <c r="C704" s="36"/>
      <c r="D704" s="24"/>
      <c r="H704" s="24"/>
    </row>
    <row r="705" ht="15.75" customHeight="1">
      <c r="C705" s="36"/>
      <c r="D705" s="24"/>
      <c r="H705" s="24"/>
    </row>
    <row r="706" ht="15.75" customHeight="1">
      <c r="C706" s="36"/>
      <c r="D706" s="24"/>
      <c r="H706" s="24"/>
    </row>
    <row r="707" ht="15.75" customHeight="1">
      <c r="C707" s="36"/>
      <c r="D707" s="24"/>
      <c r="H707" s="24"/>
    </row>
    <row r="708" ht="15.75" customHeight="1">
      <c r="C708" s="36"/>
      <c r="D708" s="24"/>
      <c r="H708" s="24"/>
    </row>
    <row r="709" ht="15.75" customHeight="1">
      <c r="C709" s="36"/>
      <c r="D709" s="24"/>
      <c r="H709" s="24"/>
    </row>
    <row r="710" ht="15.75" customHeight="1">
      <c r="C710" s="36"/>
      <c r="D710" s="24"/>
      <c r="H710" s="24"/>
    </row>
    <row r="711" ht="15.75" customHeight="1">
      <c r="C711" s="36"/>
      <c r="D711" s="24"/>
      <c r="H711" s="24"/>
    </row>
    <row r="712" ht="15.75" customHeight="1">
      <c r="C712" s="36"/>
      <c r="D712" s="24"/>
      <c r="H712" s="24"/>
    </row>
    <row r="713" ht="15.75" customHeight="1">
      <c r="C713" s="36"/>
      <c r="D713" s="24"/>
      <c r="H713" s="24"/>
    </row>
    <row r="714" ht="15.75" customHeight="1">
      <c r="C714" s="36"/>
      <c r="D714" s="24"/>
      <c r="H714" s="24"/>
    </row>
    <row r="715" ht="15.75" customHeight="1">
      <c r="C715" s="36"/>
      <c r="D715" s="24"/>
      <c r="H715" s="24"/>
    </row>
    <row r="716" ht="15.75" customHeight="1">
      <c r="C716" s="36"/>
      <c r="D716" s="24"/>
      <c r="H716" s="24"/>
    </row>
    <row r="717" ht="15.75" customHeight="1">
      <c r="C717" s="36"/>
      <c r="D717" s="24"/>
      <c r="H717" s="24"/>
    </row>
    <row r="718" ht="15.75" customHeight="1">
      <c r="C718" s="36"/>
      <c r="D718" s="24"/>
      <c r="H718" s="24"/>
    </row>
    <row r="719" ht="15.75" customHeight="1">
      <c r="C719" s="36"/>
      <c r="D719" s="24"/>
      <c r="H719" s="24"/>
    </row>
    <row r="720" ht="15.75" customHeight="1">
      <c r="C720" s="36"/>
      <c r="D720" s="24"/>
      <c r="H720" s="24"/>
    </row>
    <row r="721" ht="15.75" customHeight="1">
      <c r="C721" s="36"/>
      <c r="D721" s="24"/>
      <c r="H721" s="24"/>
    </row>
    <row r="722" ht="15.75" customHeight="1">
      <c r="C722" s="36"/>
      <c r="D722" s="24"/>
      <c r="H722" s="24"/>
    </row>
    <row r="723" ht="15.75" customHeight="1">
      <c r="C723" s="36"/>
      <c r="D723" s="24"/>
      <c r="H723" s="24"/>
    </row>
    <row r="724" ht="15.75" customHeight="1">
      <c r="C724" s="36"/>
      <c r="D724" s="24"/>
      <c r="H724" s="24"/>
    </row>
    <row r="725" ht="15.75" customHeight="1">
      <c r="C725" s="36"/>
      <c r="D725" s="24"/>
      <c r="H725" s="24"/>
    </row>
    <row r="726" ht="15.75" customHeight="1">
      <c r="C726" s="36"/>
      <c r="D726" s="24"/>
      <c r="H726" s="24"/>
    </row>
    <row r="727" ht="15.75" customHeight="1">
      <c r="C727" s="36"/>
      <c r="D727" s="24"/>
      <c r="H727" s="24"/>
    </row>
    <row r="728" ht="15.75" customHeight="1">
      <c r="C728" s="36"/>
      <c r="D728" s="24"/>
      <c r="H728" s="24"/>
    </row>
    <row r="729" ht="15.75" customHeight="1">
      <c r="C729" s="36"/>
      <c r="D729" s="24"/>
      <c r="H729" s="24"/>
    </row>
    <row r="730" ht="15.75" customHeight="1">
      <c r="C730" s="36"/>
      <c r="D730" s="24"/>
      <c r="H730" s="24"/>
    </row>
    <row r="731" ht="15.75" customHeight="1">
      <c r="C731" s="36"/>
      <c r="D731" s="24"/>
      <c r="H731" s="24"/>
    </row>
    <row r="732" ht="15.75" customHeight="1">
      <c r="C732" s="36"/>
      <c r="D732" s="24"/>
      <c r="H732" s="24"/>
    </row>
    <row r="733" ht="15.75" customHeight="1">
      <c r="C733" s="36"/>
      <c r="D733" s="24"/>
      <c r="H733" s="24"/>
    </row>
    <row r="734" ht="15.75" customHeight="1">
      <c r="C734" s="36"/>
      <c r="D734" s="24"/>
      <c r="H734" s="24"/>
    </row>
    <row r="735" ht="15.75" customHeight="1">
      <c r="C735" s="36"/>
      <c r="D735" s="24"/>
      <c r="H735" s="24"/>
    </row>
    <row r="736" ht="15.75" customHeight="1">
      <c r="C736" s="36"/>
      <c r="D736" s="24"/>
      <c r="H736" s="24"/>
    </row>
    <row r="737" ht="15.75" customHeight="1">
      <c r="C737" s="36"/>
      <c r="D737" s="24"/>
      <c r="H737" s="24"/>
    </row>
    <row r="738" ht="15.75" customHeight="1">
      <c r="C738" s="36"/>
      <c r="D738" s="24"/>
      <c r="H738" s="24"/>
    </row>
    <row r="739" ht="15.75" customHeight="1">
      <c r="C739" s="36"/>
      <c r="D739" s="24"/>
      <c r="H739" s="24"/>
    </row>
    <row r="740" ht="15.75" customHeight="1">
      <c r="C740" s="36"/>
      <c r="D740" s="24"/>
      <c r="H740" s="24"/>
    </row>
    <row r="741" ht="15.75" customHeight="1">
      <c r="C741" s="36"/>
      <c r="D741" s="24"/>
      <c r="H741" s="24"/>
    </row>
    <row r="742" ht="15.75" customHeight="1">
      <c r="C742" s="36"/>
      <c r="D742" s="24"/>
      <c r="H742" s="24"/>
    </row>
    <row r="743" ht="15.75" customHeight="1">
      <c r="C743" s="36"/>
      <c r="D743" s="24"/>
      <c r="H743" s="24"/>
    </row>
    <row r="744" ht="15.75" customHeight="1">
      <c r="C744" s="36"/>
      <c r="D744" s="24"/>
      <c r="H744" s="24"/>
    </row>
    <row r="745" ht="15.75" customHeight="1">
      <c r="C745" s="36"/>
      <c r="D745" s="24"/>
      <c r="H745" s="24"/>
    </row>
    <row r="746" ht="15.75" customHeight="1">
      <c r="C746" s="36"/>
      <c r="D746" s="24"/>
      <c r="H746" s="24"/>
    </row>
    <row r="747" ht="15.75" customHeight="1">
      <c r="C747" s="36"/>
      <c r="D747" s="24"/>
      <c r="H747" s="24"/>
    </row>
    <row r="748" ht="15.75" customHeight="1">
      <c r="C748" s="36"/>
      <c r="D748" s="24"/>
      <c r="H748" s="24"/>
    </row>
    <row r="749" ht="15.75" customHeight="1">
      <c r="C749" s="36"/>
      <c r="D749" s="24"/>
      <c r="H749" s="24"/>
    </row>
    <row r="750" ht="15.75" customHeight="1">
      <c r="C750" s="36"/>
      <c r="D750" s="24"/>
      <c r="H750" s="24"/>
    </row>
    <row r="751" ht="15.75" customHeight="1">
      <c r="C751" s="36"/>
      <c r="D751" s="24"/>
      <c r="H751" s="24"/>
    </row>
    <row r="752" ht="15.75" customHeight="1">
      <c r="C752" s="36"/>
      <c r="D752" s="24"/>
      <c r="H752" s="24"/>
    </row>
    <row r="753" ht="15.75" customHeight="1">
      <c r="C753" s="36"/>
      <c r="D753" s="24"/>
      <c r="H753" s="24"/>
    </row>
    <row r="754" ht="15.75" customHeight="1">
      <c r="C754" s="36"/>
      <c r="D754" s="24"/>
      <c r="H754" s="24"/>
    </row>
    <row r="755" ht="15.75" customHeight="1">
      <c r="C755" s="36"/>
      <c r="D755" s="24"/>
      <c r="H755" s="24"/>
    </row>
    <row r="756" ht="15.75" customHeight="1">
      <c r="C756" s="36"/>
      <c r="D756" s="24"/>
      <c r="H756" s="24"/>
    </row>
    <row r="757" ht="15.75" customHeight="1">
      <c r="C757" s="36"/>
      <c r="D757" s="24"/>
      <c r="H757" s="24"/>
    </row>
    <row r="758" ht="15.75" customHeight="1">
      <c r="C758" s="36"/>
      <c r="D758" s="24"/>
      <c r="H758" s="24"/>
    </row>
    <row r="759" ht="15.75" customHeight="1">
      <c r="C759" s="36"/>
      <c r="D759" s="24"/>
      <c r="H759" s="24"/>
    </row>
    <row r="760" ht="15.75" customHeight="1">
      <c r="C760" s="36"/>
      <c r="D760" s="24"/>
      <c r="H760" s="24"/>
    </row>
    <row r="761" ht="15.75" customHeight="1">
      <c r="C761" s="36"/>
      <c r="D761" s="24"/>
      <c r="H761" s="24"/>
    </row>
    <row r="762" ht="15.75" customHeight="1">
      <c r="C762" s="36"/>
      <c r="D762" s="24"/>
      <c r="H762" s="24"/>
    </row>
    <row r="763" ht="15.75" customHeight="1">
      <c r="C763" s="36"/>
      <c r="D763" s="24"/>
      <c r="H763" s="24"/>
    </row>
    <row r="764" ht="15.75" customHeight="1">
      <c r="C764" s="36"/>
      <c r="D764" s="24"/>
      <c r="H764" s="24"/>
    </row>
    <row r="765" ht="15.75" customHeight="1">
      <c r="C765" s="36"/>
      <c r="D765" s="24"/>
      <c r="H765" s="24"/>
    </row>
    <row r="766" ht="15.75" customHeight="1">
      <c r="C766" s="36"/>
      <c r="D766" s="24"/>
      <c r="H766" s="24"/>
    </row>
    <row r="767" ht="15.75" customHeight="1">
      <c r="C767" s="36"/>
      <c r="D767" s="24"/>
      <c r="H767" s="24"/>
    </row>
    <row r="768" ht="15.75" customHeight="1">
      <c r="C768" s="36"/>
      <c r="D768" s="24"/>
      <c r="H768" s="24"/>
    </row>
    <row r="769" ht="15.75" customHeight="1">
      <c r="C769" s="36"/>
      <c r="D769" s="24"/>
      <c r="H769" s="24"/>
    </row>
    <row r="770" ht="15.75" customHeight="1">
      <c r="C770" s="36"/>
      <c r="D770" s="24"/>
      <c r="H770" s="24"/>
    </row>
    <row r="771" ht="15.75" customHeight="1">
      <c r="C771" s="36"/>
      <c r="D771" s="24"/>
      <c r="H771" s="24"/>
    </row>
    <row r="772" ht="15.75" customHeight="1">
      <c r="C772" s="36"/>
      <c r="D772" s="24"/>
      <c r="H772" s="24"/>
    </row>
    <row r="773" ht="15.75" customHeight="1">
      <c r="C773" s="36"/>
      <c r="D773" s="24"/>
      <c r="H773" s="24"/>
    </row>
    <row r="774" ht="15.75" customHeight="1">
      <c r="C774" s="36"/>
      <c r="D774" s="24"/>
      <c r="H774" s="24"/>
    </row>
    <row r="775" ht="15.75" customHeight="1">
      <c r="C775" s="36"/>
      <c r="D775" s="24"/>
      <c r="H775" s="24"/>
    </row>
    <row r="776" ht="15.75" customHeight="1">
      <c r="C776" s="36"/>
      <c r="D776" s="24"/>
      <c r="H776" s="24"/>
    </row>
    <row r="777" ht="15.75" customHeight="1">
      <c r="C777" s="36"/>
      <c r="D777" s="24"/>
      <c r="H777" s="24"/>
    </row>
    <row r="778" ht="15.75" customHeight="1">
      <c r="C778" s="36"/>
      <c r="D778" s="24"/>
      <c r="H778" s="24"/>
    </row>
    <row r="779" ht="15.75" customHeight="1">
      <c r="C779" s="36"/>
      <c r="D779" s="24"/>
      <c r="H779" s="24"/>
    </row>
    <row r="780" ht="15.75" customHeight="1">
      <c r="C780" s="36"/>
      <c r="D780" s="24"/>
      <c r="H780" s="24"/>
    </row>
    <row r="781" ht="15.75" customHeight="1">
      <c r="C781" s="36"/>
      <c r="D781" s="24"/>
      <c r="H781" s="24"/>
    </row>
    <row r="782" ht="15.75" customHeight="1">
      <c r="C782" s="36"/>
      <c r="D782" s="24"/>
      <c r="H782" s="24"/>
    </row>
    <row r="783" ht="15.75" customHeight="1">
      <c r="C783" s="36"/>
      <c r="D783" s="24"/>
      <c r="H783" s="24"/>
    </row>
    <row r="784" ht="15.75" customHeight="1">
      <c r="C784" s="36"/>
      <c r="D784" s="24"/>
      <c r="H784" s="24"/>
    </row>
    <row r="785" ht="15.75" customHeight="1">
      <c r="C785" s="36"/>
      <c r="D785" s="24"/>
      <c r="H785" s="24"/>
    </row>
    <row r="786" ht="15.75" customHeight="1">
      <c r="C786" s="36"/>
      <c r="D786" s="24"/>
      <c r="H786" s="24"/>
    </row>
    <row r="787" ht="15.75" customHeight="1">
      <c r="C787" s="36"/>
      <c r="D787" s="24"/>
      <c r="H787" s="24"/>
    </row>
    <row r="788" ht="15.75" customHeight="1">
      <c r="C788" s="36"/>
      <c r="D788" s="24"/>
      <c r="H788" s="24"/>
    </row>
    <row r="789" ht="15.75" customHeight="1">
      <c r="C789" s="36"/>
      <c r="D789" s="24"/>
      <c r="H789" s="24"/>
    </row>
    <row r="790" ht="15.75" customHeight="1">
      <c r="C790" s="36"/>
      <c r="D790" s="24"/>
      <c r="H790" s="24"/>
    </row>
    <row r="791" ht="15.75" customHeight="1">
      <c r="C791" s="36"/>
      <c r="D791" s="24"/>
      <c r="H791" s="24"/>
    </row>
    <row r="792" ht="15.75" customHeight="1">
      <c r="C792" s="36"/>
      <c r="D792" s="24"/>
      <c r="H792" s="24"/>
    </row>
    <row r="793" ht="15.75" customHeight="1">
      <c r="C793" s="36"/>
      <c r="D793" s="24"/>
      <c r="H793" s="24"/>
    </row>
    <row r="794" ht="15.75" customHeight="1">
      <c r="C794" s="36"/>
      <c r="D794" s="24"/>
      <c r="H794" s="24"/>
    </row>
    <row r="795" ht="15.75" customHeight="1">
      <c r="C795" s="36"/>
      <c r="D795" s="24"/>
      <c r="H795" s="24"/>
    </row>
    <row r="796" ht="15.75" customHeight="1">
      <c r="C796" s="36"/>
      <c r="D796" s="24"/>
      <c r="H796" s="24"/>
    </row>
    <row r="797" ht="15.75" customHeight="1">
      <c r="C797" s="36"/>
      <c r="D797" s="24"/>
      <c r="H797" s="24"/>
    </row>
    <row r="798" ht="15.75" customHeight="1">
      <c r="C798" s="36"/>
      <c r="D798" s="24"/>
      <c r="H798" s="24"/>
    </row>
    <row r="799" ht="15.75" customHeight="1">
      <c r="C799" s="36"/>
      <c r="D799" s="24"/>
      <c r="H799" s="24"/>
    </row>
    <row r="800" ht="15.75" customHeight="1">
      <c r="C800" s="36"/>
      <c r="D800" s="24"/>
      <c r="H800" s="24"/>
    </row>
    <row r="801" ht="15.75" customHeight="1">
      <c r="C801" s="36"/>
      <c r="D801" s="24"/>
      <c r="H801" s="24"/>
    </row>
    <row r="802" ht="15.75" customHeight="1">
      <c r="C802" s="36"/>
      <c r="D802" s="24"/>
      <c r="H802" s="24"/>
    </row>
    <row r="803" ht="15.75" customHeight="1">
      <c r="C803" s="36"/>
      <c r="D803" s="24"/>
      <c r="H803" s="24"/>
    </row>
    <row r="804" ht="15.75" customHeight="1">
      <c r="C804" s="36"/>
      <c r="D804" s="24"/>
      <c r="H804" s="24"/>
    </row>
    <row r="805" ht="15.75" customHeight="1">
      <c r="C805" s="36"/>
      <c r="D805" s="24"/>
      <c r="H805" s="24"/>
    </row>
    <row r="806" ht="15.75" customHeight="1">
      <c r="C806" s="36"/>
      <c r="D806" s="24"/>
      <c r="H806" s="24"/>
    </row>
    <row r="807" ht="15.75" customHeight="1">
      <c r="C807" s="36"/>
      <c r="D807" s="24"/>
      <c r="H807" s="24"/>
    </row>
    <row r="808" ht="15.75" customHeight="1">
      <c r="C808" s="36"/>
      <c r="D808" s="24"/>
      <c r="H808" s="24"/>
    </row>
    <row r="809" ht="15.75" customHeight="1">
      <c r="C809" s="36"/>
      <c r="D809" s="24"/>
      <c r="H809" s="24"/>
    </row>
    <row r="810" ht="15.75" customHeight="1">
      <c r="C810" s="36"/>
      <c r="D810" s="24"/>
      <c r="H810" s="24"/>
    </row>
    <row r="811" ht="15.75" customHeight="1">
      <c r="C811" s="36"/>
      <c r="D811" s="24"/>
      <c r="H811" s="24"/>
    </row>
    <row r="812" ht="15.75" customHeight="1">
      <c r="C812" s="36"/>
      <c r="D812" s="24"/>
      <c r="H812" s="24"/>
    </row>
    <row r="813" ht="15.75" customHeight="1">
      <c r="C813" s="36"/>
      <c r="D813" s="24"/>
      <c r="H813" s="24"/>
    </row>
    <row r="814" ht="15.75" customHeight="1">
      <c r="C814" s="36"/>
      <c r="D814" s="24"/>
      <c r="H814" s="24"/>
    </row>
    <row r="815" ht="15.75" customHeight="1">
      <c r="C815" s="36"/>
      <c r="D815" s="24"/>
      <c r="H815" s="24"/>
    </row>
    <row r="816" ht="15.75" customHeight="1">
      <c r="C816" s="36"/>
      <c r="D816" s="24"/>
      <c r="H816" s="24"/>
    </row>
    <row r="817" ht="15.75" customHeight="1">
      <c r="C817" s="36"/>
      <c r="D817" s="24"/>
      <c r="H817" s="24"/>
    </row>
    <row r="818" ht="15.75" customHeight="1">
      <c r="C818" s="36"/>
      <c r="D818" s="24"/>
      <c r="H818" s="24"/>
    </row>
    <row r="819" ht="15.75" customHeight="1">
      <c r="C819" s="36"/>
      <c r="D819" s="24"/>
      <c r="H819" s="24"/>
    </row>
    <row r="820" ht="15.75" customHeight="1">
      <c r="C820" s="36"/>
      <c r="D820" s="24"/>
      <c r="H820" s="24"/>
    </row>
    <row r="821" ht="15.75" customHeight="1">
      <c r="C821" s="36"/>
      <c r="D821" s="24"/>
      <c r="H821" s="24"/>
    </row>
    <row r="822" ht="15.75" customHeight="1">
      <c r="C822" s="36"/>
      <c r="D822" s="24"/>
      <c r="H822" s="24"/>
    </row>
    <row r="823" ht="15.75" customHeight="1">
      <c r="C823" s="36"/>
      <c r="D823" s="24"/>
      <c r="H823" s="24"/>
    </row>
    <row r="824" ht="15.75" customHeight="1">
      <c r="C824" s="36"/>
      <c r="D824" s="24"/>
      <c r="H824" s="24"/>
    </row>
    <row r="825" ht="15.75" customHeight="1">
      <c r="C825" s="36"/>
      <c r="D825" s="24"/>
      <c r="H825" s="24"/>
    </row>
    <row r="826" ht="15.75" customHeight="1">
      <c r="C826" s="36"/>
      <c r="D826" s="24"/>
      <c r="H826" s="24"/>
    </row>
    <row r="827" ht="15.75" customHeight="1">
      <c r="C827" s="36"/>
      <c r="D827" s="24"/>
      <c r="H827" s="24"/>
    </row>
    <row r="828" ht="15.75" customHeight="1">
      <c r="C828" s="36"/>
      <c r="D828" s="24"/>
      <c r="H828" s="24"/>
    </row>
    <row r="829" ht="15.75" customHeight="1">
      <c r="C829" s="36"/>
      <c r="D829" s="24"/>
      <c r="H829" s="24"/>
    </row>
    <row r="830" ht="15.75" customHeight="1">
      <c r="C830" s="36"/>
      <c r="D830" s="24"/>
      <c r="H830" s="24"/>
    </row>
    <row r="831" ht="15.75" customHeight="1">
      <c r="C831" s="36"/>
      <c r="D831" s="24"/>
      <c r="H831" s="24"/>
    </row>
    <row r="832" ht="15.75" customHeight="1">
      <c r="C832" s="36"/>
      <c r="D832" s="24"/>
      <c r="H832" s="24"/>
    </row>
    <row r="833" ht="15.75" customHeight="1">
      <c r="C833" s="36"/>
      <c r="D833" s="24"/>
      <c r="H833" s="24"/>
    </row>
    <row r="834" ht="15.75" customHeight="1">
      <c r="C834" s="36"/>
      <c r="D834" s="24"/>
      <c r="H834" s="24"/>
    </row>
    <row r="835" ht="15.75" customHeight="1">
      <c r="C835" s="36"/>
      <c r="D835" s="24"/>
      <c r="H835" s="24"/>
    </row>
    <row r="836" ht="15.75" customHeight="1">
      <c r="C836" s="36"/>
      <c r="D836" s="24"/>
      <c r="H836" s="24"/>
    </row>
    <row r="837" ht="15.75" customHeight="1">
      <c r="C837" s="36"/>
      <c r="D837" s="24"/>
      <c r="H837" s="24"/>
    </row>
    <row r="838" ht="15.75" customHeight="1">
      <c r="C838" s="36"/>
      <c r="D838" s="24"/>
      <c r="H838" s="24"/>
    </row>
    <row r="839" ht="15.75" customHeight="1">
      <c r="C839" s="36"/>
      <c r="D839" s="24"/>
      <c r="H839" s="24"/>
    </row>
    <row r="840" ht="15.75" customHeight="1">
      <c r="C840" s="36"/>
      <c r="D840" s="24"/>
      <c r="H840" s="24"/>
    </row>
    <row r="841" ht="15.75" customHeight="1">
      <c r="C841" s="36"/>
      <c r="D841" s="24"/>
      <c r="H841" s="24"/>
    </row>
    <row r="842" ht="15.75" customHeight="1">
      <c r="C842" s="36"/>
      <c r="D842" s="24"/>
      <c r="H842" s="24"/>
    </row>
    <row r="843" ht="15.75" customHeight="1">
      <c r="C843" s="36"/>
      <c r="D843" s="24"/>
      <c r="H843" s="24"/>
    </row>
    <row r="844" ht="15.75" customHeight="1">
      <c r="C844" s="36"/>
      <c r="D844" s="24"/>
      <c r="H844" s="24"/>
    </row>
    <row r="845" ht="15.75" customHeight="1">
      <c r="C845" s="36"/>
      <c r="D845" s="24"/>
      <c r="H845" s="24"/>
    </row>
    <row r="846" ht="15.75" customHeight="1">
      <c r="C846" s="36"/>
      <c r="D846" s="24"/>
      <c r="H846" s="24"/>
    </row>
    <row r="847" ht="15.75" customHeight="1">
      <c r="C847" s="36"/>
      <c r="D847" s="24"/>
      <c r="H847" s="24"/>
    </row>
    <row r="848" ht="15.75" customHeight="1">
      <c r="C848" s="36"/>
      <c r="D848" s="24"/>
      <c r="H848" s="24"/>
    </row>
    <row r="849" ht="15.75" customHeight="1">
      <c r="C849" s="36"/>
      <c r="D849" s="24"/>
      <c r="H849" s="24"/>
    </row>
    <row r="850" ht="15.75" customHeight="1">
      <c r="C850" s="36"/>
      <c r="D850" s="24"/>
      <c r="H850" s="24"/>
    </row>
    <row r="851" ht="15.75" customHeight="1">
      <c r="C851" s="36"/>
      <c r="D851" s="24"/>
      <c r="H851" s="24"/>
    </row>
    <row r="852" ht="15.75" customHeight="1">
      <c r="C852" s="36"/>
      <c r="D852" s="24"/>
      <c r="H852" s="24"/>
    </row>
    <row r="853" ht="15.75" customHeight="1">
      <c r="C853" s="36"/>
      <c r="D853" s="24"/>
      <c r="H853" s="24"/>
    </row>
    <row r="854" ht="15.75" customHeight="1">
      <c r="C854" s="36"/>
      <c r="D854" s="24"/>
      <c r="H854" s="24"/>
    </row>
    <row r="855" ht="15.75" customHeight="1">
      <c r="C855" s="36"/>
      <c r="D855" s="24"/>
      <c r="H855" s="24"/>
    </row>
    <row r="856" ht="15.75" customHeight="1">
      <c r="C856" s="36"/>
      <c r="D856" s="24"/>
      <c r="H856" s="24"/>
    </row>
    <row r="857" ht="15.75" customHeight="1">
      <c r="C857" s="36"/>
      <c r="D857" s="24"/>
      <c r="H857" s="24"/>
    </row>
    <row r="858" ht="15.75" customHeight="1">
      <c r="C858" s="36"/>
      <c r="D858" s="24"/>
      <c r="H858" s="24"/>
    </row>
    <row r="859" ht="15.75" customHeight="1">
      <c r="C859" s="36"/>
      <c r="D859" s="24"/>
      <c r="H859" s="24"/>
    </row>
    <row r="860" ht="15.75" customHeight="1">
      <c r="C860" s="36"/>
      <c r="D860" s="24"/>
      <c r="H860" s="24"/>
    </row>
    <row r="861" ht="15.75" customHeight="1">
      <c r="C861" s="36"/>
      <c r="D861" s="24"/>
      <c r="H861" s="24"/>
    </row>
    <row r="862" ht="15.75" customHeight="1">
      <c r="C862" s="36"/>
      <c r="D862" s="24"/>
      <c r="H862" s="24"/>
    </row>
    <row r="863" ht="15.75" customHeight="1">
      <c r="C863" s="36"/>
      <c r="D863" s="24"/>
      <c r="H863" s="24"/>
    </row>
    <row r="864" ht="15.75" customHeight="1">
      <c r="C864" s="36"/>
      <c r="D864" s="24"/>
      <c r="H864" s="24"/>
    </row>
    <row r="865" ht="15.75" customHeight="1">
      <c r="C865" s="36"/>
      <c r="D865" s="24"/>
      <c r="H865" s="24"/>
    </row>
    <row r="866" ht="15.75" customHeight="1">
      <c r="C866" s="36"/>
      <c r="D866" s="24"/>
      <c r="H866" s="24"/>
    </row>
    <row r="867" ht="15.75" customHeight="1">
      <c r="C867" s="36"/>
      <c r="D867" s="24"/>
      <c r="H867" s="24"/>
    </row>
    <row r="868" ht="15.75" customHeight="1">
      <c r="C868" s="36"/>
      <c r="D868" s="24"/>
      <c r="H868" s="24"/>
    </row>
    <row r="869" ht="15.75" customHeight="1">
      <c r="C869" s="36"/>
      <c r="D869" s="24"/>
      <c r="H869" s="24"/>
    </row>
    <row r="870" ht="15.75" customHeight="1">
      <c r="C870" s="36"/>
      <c r="D870" s="24"/>
      <c r="H870" s="24"/>
    </row>
    <row r="871" ht="15.75" customHeight="1">
      <c r="C871" s="36"/>
      <c r="D871" s="24"/>
      <c r="H871" s="24"/>
    </row>
    <row r="872" ht="15.75" customHeight="1">
      <c r="C872" s="36"/>
      <c r="D872" s="24"/>
      <c r="H872" s="24"/>
    </row>
    <row r="873" ht="15.75" customHeight="1">
      <c r="C873" s="36"/>
      <c r="D873" s="24"/>
      <c r="H873" s="24"/>
    </row>
    <row r="874" ht="15.75" customHeight="1">
      <c r="C874" s="36"/>
      <c r="D874" s="24"/>
      <c r="H874" s="24"/>
    </row>
    <row r="875" ht="15.75" customHeight="1">
      <c r="C875" s="36"/>
      <c r="D875" s="24"/>
      <c r="H875" s="24"/>
    </row>
    <row r="876" ht="15.75" customHeight="1">
      <c r="C876" s="36"/>
      <c r="D876" s="24"/>
      <c r="H876" s="24"/>
    </row>
    <row r="877" ht="15.75" customHeight="1">
      <c r="C877" s="36"/>
      <c r="D877" s="24"/>
      <c r="H877" s="24"/>
    </row>
    <row r="878" ht="15.75" customHeight="1">
      <c r="C878" s="36"/>
      <c r="D878" s="24"/>
      <c r="H878" s="24"/>
    </row>
    <row r="879" ht="15.75" customHeight="1">
      <c r="C879" s="36"/>
      <c r="D879" s="24"/>
      <c r="H879" s="24"/>
    </row>
    <row r="880" ht="15.75" customHeight="1">
      <c r="C880" s="36"/>
      <c r="D880" s="24"/>
      <c r="H880" s="24"/>
    </row>
    <row r="881" ht="15.75" customHeight="1">
      <c r="C881" s="36"/>
      <c r="D881" s="24"/>
      <c r="H881" s="24"/>
    </row>
    <row r="882" ht="15.75" customHeight="1">
      <c r="C882" s="36"/>
      <c r="D882" s="24"/>
      <c r="H882" s="24"/>
    </row>
    <row r="883" ht="15.75" customHeight="1">
      <c r="C883" s="36"/>
      <c r="D883" s="24"/>
      <c r="H883" s="24"/>
    </row>
    <row r="884" ht="15.75" customHeight="1">
      <c r="C884" s="36"/>
      <c r="D884" s="24"/>
      <c r="H884" s="24"/>
    </row>
    <row r="885" ht="15.75" customHeight="1">
      <c r="C885" s="36"/>
      <c r="D885" s="24"/>
      <c r="H885" s="24"/>
    </row>
    <row r="886" ht="15.75" customHeight="1">
      <c r="C886" s="36"/>
      <c r="D886" s="24"/>
      <c r="H886" s="24"/>
    </row>
    <row r="887" ht="15.75" customHeight="1">
      <c r="C887" s="36"/>
      <c r="D887" s="24"/>
      <c r="H887" s="24"/>
    </row>
    <row r="888" ht="15.75" customHeight="1">
      <c r="C888" s="36"/>
      <c r="D888" s="24"/>
      <c r="H888" s="24"/>
    </row>
    <row r="889" ht="15.75" customHeight="1">
      <c r="C889" s="36"/>
      <c r="D889" s="24"/>
      <c r="H889" s="24"/>
    </row>
    <row r="890" ht="15.75" customHeight="1">
      <c r="C890" s="36"/>
      <c r="D890" s="24"/>
      <c r="H890" s="24"/>
    </row>
    <row r="891" ht="15.75" customHeight="1">
      <c r="C891" s="36"/>
      <c r="D891" s="24"/>
      <c r="H891" s="24"/>
    </row>
    <row r="892" ht="15.75" customHeight="1">
      <c r="C892" s="36"/>
      <c r="D892" s="24"/>
      <c r="H892" s="24"/>
    </row>
    <row r="893" ht="15.75" customHeight="1">
      <c r="C893" s="36"/>
      <c r="D893" s="24"/>
      <c r="H893" s="24"/>
    </row>
    <row r="894" ht="15.75" customHeight="1">
      <c r="C894" s="36"/>
      <c r="D894" s="24"/>
      <c r="H894" s="24"/>
    </row>
    <row r="895" ht="15.75" customHeight="1">
      <c r="C895" s="36"/>
      <c r="D895" s="24"/>
      <c r="H895" s="24"/>
    </row>
    <row r="896" ht="15.75" customHeight="1">
      <c r="C896" s="36"/>
      <c r="D896" s="24"/>
      <c r="H896" s="24"/>
    </row>
    <row r="897" ht="15.75" customHeight="1">
      <c r="C897" s="36"/>
      <c r="D897" s="24"/>
      <c r="H897" s="24"/>
    </row>
    <row r="898" ht="15.75" customHeight="1">
      <c r="C898" s="36"/>
      <c r="D898" s="24"/>
      <c r="H898" s="24"/>
    </row>
    <row r="899" ht="15.75" customHeight="1">
      <c r="C899" s="36"/>
      <c r="D899" s="24"/>
      <c r="H899" s="24"/>
    </row>
    <row r="900" ht="15.75" customHeight="1">
      <c r="C900" s="36"/>
      <c r="D900" s="24"/>
      <c r="H900" s="24"/>
    </row>
    <row r="901" ht="15.75" customHeight="1">
      <c r="C901" s="36"/>
      <c r="D901" s="24"/>
      <c r="H901" s="24"/>
    </row>
    <row r="902" ht="15.75" customHeight="1">
      <c r="C902" s="36"/>
      <c r="D902" s="24"/>
      <c r="H902" s="24"/>
    </row>
    <row r="903" ht="15.75" customHeight="1">
      <c r="C903" s="36"/>
      <c r="D903" s="24"/>
      <c r="H903" s="24"/>
    </row>
    <row r="904" ht="15.75" customHeight="1">
      <c r="C904" s="36"/>
      <c r="D904" s="24"/>
      <c r="H904" s="24"/>
    </row>
    <row r="905" ht="15.75" customHeight="1">
      <c r="C905" s="36"/>
      <c r="D905" s="24"/>
      <c r="H905" s="24"/>
    </row>
    <row r="906" ht="15.75" customHeight="1">
      <c r="C906" s="36"/>
      <c r="D906" s="24"/>
      <c r="H906" s="24"/>
    </row>
    <row r="907" ht="15.75" customHeight="1">
      <c r="C907" s="36"/>
      <c r="D907" s="24"/>
      <c r="H907" s="24"/>
    </row>
    <row r="908" ht="15.75" customHeight="1">
      <c r="C908" s="36"/>
      <c r="D908" s="24"/>
      <c r="H908" s="24"/>
    </row>
    <row r="909" ht="15.75" customHeight="1">
      <c r="C909" s="36"/>
      <c r="D909" s="24"/>
      <c r="H909" s="24"/>
    </row>
    <row r="910" ht="15.75" customHeight="1">
      <c r="C910" s="36"/>
      <c r="D910" s="24"/>
      <c r="H910" s="24"/>
    </row>
    <row r="911" ht="15.75" customHeight="1">
      <c r="C911" s="36"/>
      <c r="D911" s="24"/>
      <c r="H911" s="24"/>
    </row>
    <row r="912" ht="15.75" customHeight="1">
      <c r="C912" s="36"/>
      <c r="D912" s="24"/>
      <c r="H912" s="24"/>
    </row>
    <row r="913" ht="15.75" customHeight="1">
      <c r="C913" s="36"/>
      <c r="D913" s="24"/>
      <c r="H913" s="24"/>
    </row>
    <row r="914" ht="15.75" customHeight="1">
      <c r="C914" s="36"/>
      <c r="D914" s="24"/>
      <c r="H914" s="24"/>
    </row>
    <row r="915" ht="15.75" customHeight="1">
      <c r="C915" s="36"/>
      <c r="D915" s="24"/>
      <c r="H915" s="24"/>
    </row>
    <row r="916" ht="15.75" customHeight="1">
      <c r="C916" s="36"/>
      <c r="D916" s="24"/>
      <c r="H916" s="24"/>
    </row>
    <row r="917" ht="15.75" customHeight="1">
      <c r="C917" s="36"/>
      <c r="D917" s="24"/>
      <c r="H917" s="24"/>
    </row>
    <row r="918" ht="15.75" customHeight="1">
      <c r="C918" s="36"/>
      <c r="D918" s="24"/>
      <c r="H918" s="24"/>
    </row>
    <row r="919" ht="15.75" customHeight="1">
      <c r="C919" s="36"/>
      <c r="D919" s="24"/>
      <c r="H919" s="24"/>
    </row>
    <row r="920" ht="15.75" customHeight="1">
      <c r="C920" s="36"/>
      <c r="D920" s="24"/>
      <c r="H920" s="24"/>
    </row>
    <row r="921" ht="15.75" customHeight="1">
      <c r="C921" s="36"/>
      <c r="D921" s="24"/>
      <c r="H921" s="24"/>
    </row>
    <row r="922" ht="15.75" customHeight="1">
      <c r="C922" s="36"/>
      <c r="D922" s="24"/>
      <c r="H922" s="24"/>
    </row>
    <row r="923" ht="15.75" customHeight="1">
      <c r="C923" s="36"/>
      <c r="D923" s="24"/>
      <c r="H923" s="24"/>
    </row>
    <row r="924" ht="15.75" customHeight="1">
      <c r="C924" s="36"/>
      <c r="D924" s="24"/>
      <c r="H924" s="24"/>
    </row>
    <row r="925" ht="15.75" customHeight="1">
      <c r="C925" s="36"/>
      <c r="D925" s="24"/>
      <c r="H925" s="24"/>
    </row>
    <row r="926" ht="15.75" customHeight="1">
      <c r="C926" s="36"/>
      <c r="D926" s="24"/>
      <c r="H926" s="24"/>
    </row>
    <row r="927" ht="15.75" customHeight="1">
      <c r="C927" s="36"/>
      <c r="D927" s="24"/>
      <c r="H927" s="24"/>
    </row>
    <row r="928" ht="15.75" customHeight="1">
      <c r="C928" s="36"/>
      <c r="D928" s="24"/>
      <c r="H928" s="24"/>
    </row>
    <row r="929" ht="15.75" customHeight="1">
      <c r="C929" s="36"/>
      <c r="D929" s="24"/>
      <c r="H929" s="24"/>
    </row>
    <row r="930" ht="15.75" customHeight="1">
      <c r="C930" s="36"/>
      <c r="D930" s="24"/>
      <c r="H930" s="24"/>
    </row>
    <row r="931" ht="15.75" customHeight="1">
      <c r="C931" s="36"/>
      <c r="D931" s="24"/>
      <c r="H931" s="24"/>
    </row>
    <row r="932" ht="15.75" customHeight="1">
      <c r="C932" s="36"/>
      <c r="D932" s="24"/>
      <c r="H932" s="24"/>
    </row>
    <row r="933" ht="15.75" customHeight="1">
      <c r="C933" s="36"/>
      <c r="D933" s="24"/>
      <c r="H933" s="24"/>
    </row>
    <row r="934" ht="15.75" customHeight="1">
      <c r="C934" s="36"/>
      <c r="D934" s="24"/>
      <c r="H934" s="24"/>
    </row>
    <row r="935" ht="15.75" customHeight="1">
      <c r="C935" s="36"/>
      <c r="D935" s="24"/>
      <c r="H935" s="24"/>
    </row>
    <row r="936" ht="15.75" customHeight="1">
      <c r="C936" s="36"/>
      <c r="D936" s="24"/>
      <c r="H936" s="24"/>
    </row>
    <row r="937" ht="15.75" customHeight="1">
      <c r="C937" s="36"/>
      <c r="D937" s="24"/>
      <c r="H937" s="24"/>
    </row>
    <row r="938" ht="15.75" customHeight="1">
      <c r="C938" s="36"/>
      <c r="D938" s="24"/>
      <c r="H938" s="24"/>
    </row>
    <row r="939" ht="15.75" customHeight="1">
      <c r="C939" s="36"/>
      <c r="D939" s="24"/>
      <c r="H939" s="24"/>
    </row>
    <row r="940" ht="15.75" customHeight="1">
      <c r="C940" s="36"/>
      <c r="D940" s="24"/>
      <c r="H940" s="24"/>
    </row>
    <row r="941" ht="15.75" customHeight="1">
      <c r="C941" s="36"/>
      <c r="D941" s="24"/>
      <c r="H941" s="24"/>
    </row>
    <row r="942" ht="15.75" customHeight="1">
      <c r="C942" s="36"/>
      <c r="D942" s="24"/>
      <c r="H942" s="24"/>
    </row>
    <row r="943" ht="15.75" customHeight="1">
      <c r="C943" s="36"/>
      <c r="D943" s="24"/>
      <c r="H943" s="24"/>
    </row>
    <row r="944" ht="15.75" customHeight="1">
      <c r="C944" s="36"/>
      <c r="D944" s="24"/>
      <c r="H944" s="24"/>
    </row>
    <row r="945" ht="15.75" customHeight="1">
      <c r="C945" s="36"/>
      <c r="D945" s="24"/>
      <c r="H945" s="24"/>
    </row>
    <row r="946" ht="15.75" customHeight="1">
      <c r="C946" s="36"/>
      <c r="D946" s="24"/>
      <c r="H946" s="24"/>
    </row>
    <row r="947" ht="15.75" customHeight="1">
      <c r="C947" s="36"/>
      <c r="D947" s="24"/>
      <c r="H947" s="24"/>
    </row>
    <row r="948" ht="15.75" customHeight="1">
      <c r="C948" s="36"/>
      <c r="D948" s="24"/>
      <c r="H948" s="24"/>
    </row>
    <row r="949" ht="15.75" customHeight="1">
      <c r="C949" s="36"/>
      <c r="D949" s="24"/>
      <c r="H949" s="24"/>
    </row>
    <row r="950" ht="15.75" customHeight="1">
      <c r="C950" s="36"/>
      <c r="D950" s="24"/>
      <c r="H950" s="24"/>
    </row>
    <row r="951" ht="15.75" customHeight="1">
      <c r="C951" s="36"/>
      <c r="D951" s="24"/>
      <c r="H951" s="24"/>
    </row>
    <row r="952" ht="15.75" customHeight="1">
      <c r="C952" s="36"/>
      <c r="D952" s="24"/>
      <c r="H952" s="24"/>
    </row>
    <row r="953" ht="15.75" customHeight="1">
      <c r="C953" s="36"/>
      <c r="D953" s="24"/>
      <c r="H953" s="24"/>
    </row>
    <row r="954" ht="15.75" customHeight="1">
      <c r="C954" s="36"/>
      <c r="D954" s="24"/>
      <c r="H954" s="24"/>
    </row>
    <row r="955" ht="15.75" customHeight="1">
      <c r="C955" s="36"/>
      <c r="D955" s="24"/>
      <c r="H955" s="24"/>
    </row>
    <row r="956" ht="15.75" customHeight="1">
      <c r="C956" s="36"/>
      <c r="D956" s="24"/>
      <c r="H956" s="24"/>
    </row>
    <row r="957" ht="15.75" customHeight="1">
      <c r="C957" s="36"/>
      <c r="D957" s="24"/>
      <c r="H957" s="24"/>
    </row>
    <row r="958" ht="15.75" customHeight="1">
      <c r="C958" s="36"/>
      <c r="D958" s="24"/>
      <c r="H958" s="24"/>
    </row>
    <row r="959" ht="15.75" customHeight="1">
      <c r="C959" s="36"/>
      <c r="D959" s="24"/>
      <c r="H959" s="24"/>
    </row>
    <row r="960" ht="15.75" customHeight="1">
      <c r="C960" s="36"/>
      <c r="D960" s="24"/>
      <c r="H960" s="24"/>
    </row>
    <row r="961" ht="15.75" customHeight="1">
      <c r="C961" s="36"/>
      <c r="D961" s="24"/>
      <c r="H961" s="24"/>
    </row>
    <row r="962" ht="15.75" customHeight="1">
      <c r="C962" s="36"/>
      <c r="D962" s="24"/>
      <c r="H962" s="24"/>
    </row>
    <row r="963" ht="15.75" customHeight="1">
      <c r="C963" s="36"/>
      <c r="D963" s="24"/>
      <c r="H963" s="24"/>
    </row>
    <row r="964" ht="15.75" customHeight="1">
      <c r="C964" s="36"/>
      <c r="D964" s="24"/>
      <c r="H964" s="24"/>
    </row>
    <row r="965" ht="15.75" customHeight="1">
      <c r="C965" s="36"/>
      <c r="D965" s="24"/>
      <c r="H965" s="24"/>
    </row>
    <row r="966" ht="15.75" customHeight="1">
      <c r="C966" s="36"/>
      <c r="D966" s="24"/>
      <c r="H966" s="24"/>
    </row>
    <row r="967" ht="15.75" customHeight="1">
      <c r="C967" s="36"/>
      <c r="D967" s="24"/>
      <c r="H967" s="24"/>
    </row>
    <row r="968" ht="15.75" customHeight="1">
      <c r="C968" s="36"/>
      <c r="D968" s="24"/>
      <c r="H968" s="24"/>
    </row>
    <row r="969" ht="15.75" customHeight="1">
      <c r="C969" s="36"/>
      <c r="D969" s="24"/>
      <c r="H969" s="24"/>
    </row>
    <row r="970" ht="15.75" customHeight="1">
      <c r="C970" s="36"/>
      <c r="D970" s="24"/>
      <c r="H970" s="24"/>
    </row>
    <row r="971" ht="15.75" customHeight="1">
      <c r="C971" s="36"/>
      <c r="D971" s="24"/>
      <c r="H971" s="24"/>
    </row>
    <row r="972" ht="15.75" customHeight="1">
      <c r="C972" s="36"/>
      <c r="D972" s="24"/>
      <c r="H972" s="24"/>
    </row>
    <row r="973" ht="15.75" customHeight="1">
      <c r="C973" s="36"/>
      <c r="D973" s="24"/>
      <c r="H973" s="24"/>
    </row>
    <row r="974" ht="15.75" customHeight="1">
      <c r="C974" s="36"/>
      <c r="D974" s="24"/>
      <c r="H974" s="24"/>
    </row>
    <row r="975" ht="15.75" customHeight="1">
      <c r="C975" s="36"/>
      <c r="D975" s="24"/>
      <c r="H975" s="24"/>
    </row>
    <row r="976" ht="15.75" customHeight="1">
      <c r="C976" s="36"/>
      <c r="D976" s="24"/>
      <c r="H976" s="24"/>
    </row>
    <row r="977" ht="15.75" customHeight="1">
      <c r="C977" s="36"/>
      <c r="D977" s="24"/>
      <c r="H977" s="24"/>
    </row>
    <row r="978" ht="15.75" customHeight="1">
      <c r="C978" s="36"/>
      <c r="D978" s="24"/>
      <c r="H978" s="24"/>
    </row>
    <row r="979" ht="15.75" customHeight="1">
      <c r="C979" s="36"/>
      <c r="D979" s="24"/>
      <c r="H979" s="24"/>
    </row>
    <row r="980" ht="15.75" customHeight="1">
      <c r="C980" s="36"/>
      <c r="D980" s="24"/>
      <c r="H980" s="24"/>
    </row>
    <row r="981" ht="15.75" customHeight="1">
      <c r="C981" s="36"/>
      <c r="D981" s="24"/>
      <c r="H981" s="24"/>
    </row>
    <row r="982" ht="15.75" customHeight="1">
      <c r="C982" s="36"/>
      <c r="D982" s="24"/>
      <c r="H982" s="24"/>
    </row>
    <row r="983" ht="15.75" customHeight="1">
      <c r="C983" s="36"/>
      <c r="D983" s="24"/>
      <c r="H983" s="24"/>
    </row>
    <row r="984" ht="15.75" customHeight="1">
      <c r="C984" s="36"/>
      <c r="D984" s="24"/>
      <c r="H984" s="24"/>
    </row>
    <row r="985" ht="15.75" customHeight="1">
      <c r="C985" s="36"/>
      <c r="D985" s="24"/>
      <c r="H985" s="24"/>
    </row>
    <row r="986" ht="15.75" customHeight="1">
      <c r="C986" s="36"/>
      <c r="D986" s="24"/>
      <c r="H986" s="24"/>
    </row>
    <row r="987" ht="15.75" customHeight="1">
      <c r="C987" s="36"/>
      <c r="D987" s="24"/>
      <c r="H987" s="24"/>
    </row>
    <row r="988" ht="15.75" customHeight="1">
      <c r="C988" s="36"/>
      <c r="D988" s="24"/>
      <c r="H988" s="24"/>
    </row>
    <row r="989" ht="15.75" customHeight="1">
      <c r="C989" s="36"/>
      <c r="D989" s="24"/>
      <c r="H989" s="24"/>
    </row>
    <row r="990" ht="15.75" customHeight="1">
      <c r="C990" s="36"/>
      <c r="D990" s="24"/>
      <c r="H990" s="24"/>
    </row>
    <row r="991" ht="15.75" customHeight="1">
      <c r="C991" s="36"/>
      <c r="D991" s="24"/>
      <c r="H991" s="24"/>
    </row>
    <row r="992" ht="15.75" customHeight="1">
      <c r="C992" s="36"/>
      <c r="D992" s="24"/>
      <c r="H992" s="24"/>
    </row>
    <row r="993" ht="15.75" customHeight="1">
      <c r="C993" s="36"/>
      <c r="D993" s="24"/>
      <c r="H993" s="24"/>
    </row>
    <row r="994" ht="15.75" customHeight="1">
      <c r="C994" s="36"/>
      <c r="D994" s="24"/>
      <c r="H994" s="24"/>
    </row>
    <row r="995" ht="15.75" customHeight="1">
      <c r="C995" s="36"/>
      <c r="D995" s="24"/>
      <c r="H995" s="24"/>
    </row>
    <row r="996" ht="15.75" customHeight="1">
      <c r="C996" s="36"/>
      <c r="D996" s="24"/>
      <c r="H996" s="24"/>
    </row>
    <row r="997" ht="15.75" customHeight="1">
      <c r="C997" s="36"/>
      <c r="D997" s="24"/>
      <c r="H997" s="24"/>
    </row>
    <row r="998" ht="15.75" customHeight="1">
      <c r="C998" s="36"/>
      <c r="D998" s="24"/>
      <c r="H998" s="24"/>
    </row>
    <row r="999" ht="15.75" customHeight="1">
      <c r="C999" s="36"/>
      <c r="D999" s="24"/>
      <c r="H999" s="24"/>
    </row>
    <row r="1000" ht="15.75" customHeight="1">
      <c r="C1000" s="36"/>
      <c r="D1000" s="24"/>
      <c r="H1000" s="2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76.11"/>
  </cols>
  <sheetData>
    <row r="1" ht="21.75" customHeight="1">
      <c r="A1" s="39" t="s">
        <v>2366</v>
      </c>
      <c r="B1" s="40"/>
    </row>
    <row r="2" ht="21.75" customHeight="1">
      <c r="A2" s="28" t="s">
        <v>2367</v>
      </c>
      <c r="B2" s="28" t="s">
        <v>2342</v>
      </c>
    </row>
    <row r="3" ht="21.75" customHeight="1">
      <c r="A3" s="28" t="s">
        <v>2368</v>
      </c>
      <c r="B3" s="29"/>
    </row>
    <row r="4" ht="21.75" customHeight="1">
      <c r="A4" s="29" t="s">
        <v>2369</v>
      </c>
      <c r="B4" s="32" t="s">
        <v>2370</v>
      </c>
    </row>
    <row r="5" ht="21.75" customHeight="1">
      <c r="A5" s="29" t="s">
        <v>2371</v>
      </c>
      <c r="B5" s="32" t="s">
        <v>2372</v>
      </c>
    </row>
    <row r="6" ht="21.75" customHeight="1">
      <c r="A6" s="28" t="s">
        <v>2373</v>
      </c>
      <c r="B6" s="29"/>
    </row>
    <row r="7" ht="21.75" customHeight="1">
      <c r="A7" s="29" t="s">
        <v>2374</v>
      </c>
      <c r="B7" s="32" t="s">
        <v>2347</v>
      </c>
    </row>
    <row r="8" ht="21.75" customHeight="1">
      <c r="A8" s="29" t="s">
        <v>2375</v>
      </c>
      <c r="B8" s="32" t="s">
        <v>2349</v>
      </c>
    </row>
    <row r="9">
      <c r="A9" s="29" t="s">
        <v>2352</v>
      </c>
      <c r="B9" s="32" t="s">
        <v>2353</v>
      </c>
    </row>
    <row r="10">
      <c r="A10" s="29" t="s">
        <v>2376</v>
      </c>
      <c r="B10" s="32" t="s">
        <v>2377</v>
      </c>
    </row>
    <row r="11" ht="21.75" customHeight="1">
      <c r="A11" s="28" t="s">
        <v>2378</v>
      </c>
      <c r="B11" s="29"/>
    </row>
    <row r="12">
      <c r="A12" s="29" t="s">
        <v>2379</v>
      </c>
      <c r="B12" s="32" t="s">
        <v>2380</v>
      </c>
    </row>
    <row r="13" ht="21.75" customHeight="1">
      <c r="A13" s="28" t="s">
        <v>2381</v>
      </c>
      <c r="B13" s="29"/>
    </row>
    <row r="14" ht="21.75" customHeight="1">
      <c r="A14" s="29" t="s">
        <v>2382</v>
      </c>
      <c r="B14" s="32" t="s">
        <v>2383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